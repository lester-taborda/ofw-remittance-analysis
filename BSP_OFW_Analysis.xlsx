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firstSheet="1" activeTab="1"/>
  </bookViews>
  <sheets>
    <sheet name="ANALYSIS_SUMMARY" sheetId="1" r:id="rId1"/>
    <sheet name="ANALYSIS" sheetId="2" r:id="rId2"/>
    <sheet name="ANALYSIS_LOG" sheetId="3" r:id="rId3"/>
    <sheet name="BSP_CORRIDORS" sheetId="4" r:id="rId4"/>
    <sheet name="PIVOT_TABLES" sheetId="5" r:id="rId5"/>
  </sheets>
  <definedNames>
    <definedName name="_xlnm._FilterDatabase" localSheetId="3" hidden="1">BSP_CORRIDORS!$A$1:$A$1000</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<sst xmlns="http://schemas.openxmlformats.org/spreadsheetml/2006/main" count="423" uniqueCount="126">
  <si>
    <t>THE $30B LIFELINE: Understanding OFW Remittance Trends</t>
  </si>
  <si>
    <t>Analyze Phase — Key Findings Summary | BSP Cash Remittances by Country, 2019–2024</t>
  </si>
  <si>
    <t>Analyst:  Lester John Taborda | Date: March 25, 2026</t>
  </si>
  <si>
    <t>01 — DATA OVERVIEW</t>
  </si>
  <si>
    <t>Dataset</t>
  </si>
  <si>
    <t>Primary dataset: BSP Cash Remittances by Country (OFW Remittances), 2019–2024. Unit: USD Thousands. Source: Bangko Sentral ng Pilipinas (BSP), downloaded from the BSP Statistics Portal. Supplementary dataset: PSA Survey on Overseas Filipinos (SOF) 2024 — Remittance by Mode of Transfer. Covers national-level bank vs. non-bank usage rates.</t>
  </si>
  <si>
    <t>Scope</t>
  </si>
  <si>
    <t>27 corridors included — all countries with annual remittance totals ≥ USD 100 million in 2024. Countries falling below this threshold in earlier years (Macao SAR, Switzerland) were excluded from the corridor list as they no longer represent strategically significant volumes. Countries entering the threshold mid-period (Israel, Liberia, Marshall Islands) are included with partial-year data; CAGR is marked N/A for these.</t>
  </si>
  <si>
    <t>Coverage Validation</t>
  </si>
  <si>
    <t>All 6 annual grand totals validated against BSP published figures prior to analysis. 2019: $30.13B | 2020: $29.90B | 2021: $31.42B | 2022: $32.54B | 2023: $33.49B | 2024: $34.49B (USD thousands). All figures match exactly. No imputation or estimation applied to source data.</t>
  </si>
  <si>
    <t>02 — FINDING 1: US CORRIDOR DOMINANCE IS STRUCTURAL</t>
  </si>
  <si>
    <t>Key Insight</t>
  </si>
  <si>
    <t>The United States corridor is not merely the largest — it operates in a different category entirely. At USD 14.01B in 2024, it is 5.6x larger than #2 Singapore (USD 2.48B) and accounts for approximately 40.6% of all tracked OFW remittances. This share has been consistently above 37% across all six years, rising from 37.6% in 2019 to a peak of 41.2% in 2022 before stabilizing near 40.6%. Over the full 6-year period, the US corridor generated a cumulative USD 77.1B — more than the next five corridors combined.</t>
  </si>
  <si>
    <t>Rank</t>
  </si>
  <si>
    <t>Country</t>
  </si>
  <si>
    <t>2024 Volume (USD 000s)</t>
  </si>
  <si>
    <t>6-Yr Total (USD 000s)</t>
  </si>
  <si>
    <t>United States of America</t>
  </si>
  <si>
    <t>Singapore</t>
  </si>
  <si>
    <t>Saudi Arabia</t>
  </si>
  <si>
    <t>Japan</t>
  </si>
  <si>
    <t>United Kingdom</t>
  </si>
  <si>
    <t>03 — FINDING 2: COVID CREATED A TALE OF TWO CORRIDORS</t>
  </si>
  <si>
    <t>COVID-19 (2019→2020) did not uniformly reduce remittances — it exposed a structural divide. Western and maritime corridors (US +5.5%, Singapore +12.7%, Canada +1.3%, Hong Kong +2.4%, Taiwan +15.5%) grew or held steady, while Middle East labor corridors contracted sharply (Kuwait -23.5%, Bahrain -29.2%, UAE -19.2%, Saudi Arabia -13.7%). This reflects the different OFW profiles per corridor: professional/skilled workers in the West often shifted to remote work and maintained or increased income, while domestic and construction workers in the Gulf faced job losses and repatriation. Notably, Oman (+68.2%), Cyprus (+63.2%), Greece (+48.7%), and Panama (+45.2%) saw sharp spikes — likely driven by maritime OFWs, cargo shipping demand surges, and repatriation money transfers.</t>
  </si>
  <si>
    <t>Recovery Pattern</t>
  </si>
  <si>
    <t>Middle East corridors largely recovered by 2022–2023, driven by oil price recovery and re-hiring. Saudi Arabia returned to above-2019 levels by 2023 ($2.06B vs $2.10B in 2019) and reached $2.22B in 2024. UAE and Kuwait have not yet returned to 2019 levels as of 2024, suggesting structural workforce reduction in those markets post-COVID. Western corridors continued growing uninterrupted throughout.</t>
  </si>
  <si>
    <t>04 — FINDING 3: EMERGING HIGH-GROWTH CORRIDORS</t>
  </si>
  <si>
    <t>Several mid-tier corridors are growing faster than top-volume corridors, signaling shifting OFW deployment. Cyprus (CAGR +14.9%), Greece (CAGR +14.7%), and Panama (CAGR +13.9%) lead growth — all maritime-linked. Taiwan, Republic of China (+9.7%) and Malaysia (+7.2%) show strong land-based growth, driven by manufacturing and services OFW deployment. These corridors are small in absolute volume today but represent the pipeline of future high-volume corridors — an early-mover opportunity for a bank establishing digital remittance infrastructure now.</t>
  </si>
  <si>
    <t>CAGR 2019–2024</t>
  </si>
  <si>
    <t>2019 Volume</t>
  </si>
  <si>
    <t>2024 Volume</t>
  </si>
  <si>
    <t>Cyprus</t>
  </si>
  <si>
    <t>14.90%</t>
  </si>
  <si>
    <t>Greece</t>
  </si>
  <si>
    <t>14.7%</t>
  </si>
  <si>
    <t>Panama</t>
  </si>
  <si>
    <t>13.9%</t>
  </si>
  <si>
    <t>Taiwan, Republic of China</t>
  </si>
  <si>
    <t>9.7%</t>
  </si>
  <si>
    <t>Malaysia</t>
  </si>
  <si>
    <t>7.2%</t>
  </si>
  <si>
    <t>05 — FINDING 4: $13.04B UNDERSERVED MARKET OPPORTUNITY</t>
  </si>
  <si>
    <t>Applying PSA SOF 2024's national bank usage rate of 61%, an estimated 39% of OFW remittances flow through non-bank channels (money transfer operators, door-to-door, informal couriers). Across all 27 corridors using 2024 volumes as the basis, this represents approximately USD 13.04 billion annually in remittances not captured by formal banking infrastructure. The US corridor alone accounts for USD 5.47B of this — 41.9% of total non-bank estimated volume. This is the direct addressable market for a Philippine commercial bank's digital remittance expansion.</t>
  </si>
  <si>
    <t>Non-Bank Est. (USD B)</t>
  </si>
  <si>
    <t>% of Total Opp.</t>
  </si>
  <si>
    <t>TOTAL (all 27 corridors)</t>
  </si>
  <si>
    <t xml:space="preserve"> Limitation: 39% non-bank rate applied uniformly as a national proxy. Actual rates likely vary by corridor — Gulf corridors may skew higher (more informal), Western corridors may skew lower (more banked populations). Treat as order-of-magnitude estimate, not precise corridor-level measurement.</t>
  </si>
  <si>
    <t>06 — KEY NOTES</t>
  </si>
  <si>
    <t>PSA mode proxy limitation</t>
  </si>
  <si>
    <t>61% bank usage rate is national-level only. No corridor-level mode data exists in PSA SOF. Non-bank estimates are proxies — state as limitation in final report.</t>
  </si>
  <si>
    <t>Partial-year corridors (3 countries)</t>
  </si>
  <si>
    <t>Israel, Liberia, Marshall Islands have zero values in early years (below threshold). Included with partial data. Their CAGR and early YoY figures are N/A — this is correct, not an error.</t>
  </si>
  <si>
    <t>Macao SAR &amp; Switzerland excluded</t>
  </si>
  <si>
    <t>Present in 2019 but dropped below $100M threshold by 2020. Excluded from the 27-country list. Documented in cleaning log. Available in BSP_CORRIDORS raw tab if needed.</t>
  </si>
  <si>
    <t>07 — ANALYZE PHASE DELIVERABLE CHECKLIST</t>
  </si>
  <si>
    <t>Key Tasks</t>
  </si>
  <si>
    <t>Description</t>
  </si>
  <si>
    <t>Aggregate data</t>
  </si>
  <si>
    <t>27 corridors × 6 years in single flat table (BSP_Corridors tab)</t>
  </si>
  <si>
    <t>Organize &amp; format</t>
  </si>
  <si>
    <t>ANALYSIS tab: wide-format with all calculated metrics per corridor</t>
  </si>
  <si>
    <t>Perform calculations</t>
  </si>
  <si>
    <t>CAGR, YoY growth, market share, non-bank proxy — all in ANALYSIS tab</t>
  </si>
  <si>
    <t>Document steps</t>
  </si>
  <si>
    <t>Analysis_Log tab documents proxy assumptions and source references</t>
  </si>
  <si>
    <t>Pivot tables</t>
  </si>
  <si>
    <t>4 pivot tables in Pivot_Tables tab: volume ranking, cumulative, COVID, non-bank opportunity</t>
  </si>
  <si>
    <t>Identify trends</t>
  </si>
  <si>
    <t>4 key findings documented in this summary sheet</t>
  </si>
  <si>
    <t>Summary of analysis</t>
  </si>
  <si>
    <t>This sheet (ANALYSIS_SUMMARY) is the phase deliverable</t>
  </si>
  <si>
    <t>BSP OFW Remittance - Corridor Analysis | Unit: USD Thousands</t>
  </si>
  <si>
    <t>6YR_Total</t>
  </si>
  <si>
    <t>CAGR_2019_2024</t>
  </si>
  <si>
    <t>YoY_2019_2020</t>
  </si>
  <si>
    <t>YoY_2020_2021</t>
  </si>
  <si>
    <t>YoY_2021_2022</t>
  </si>
  <si>
    <t>YoY_2022_2023</t>
  </si>
  <si>
    <t>YoY_2023_2024</t>
  </si>
  <si>
    <t>Share_2019</t>
  </si>
  <si>
    <t>Share_2020</t>
  </si>
  <si>
    <t>Share_2021</t>
  </si>
  <si>
    <t>Share_2022</t>
  </si>
  <si>
    <t>Share_2023</t>
  </si>
  <si>
    <t>Share_2024</t>
  </si>
  <si>
    <t>Nonbank_Est_USD_000s</t>
  </si>
  <si>
    <t>Nonbank_Est_USD_Billions</t>
  </si>
  <si>
    <t>Australia</t>
  </si>
  <si>
    <t>Bahrain</t>
  </si>
  <si>
    <t>Canada</t>
  </si>
  <si>
    <t>Germany</t>
  </si>
  <si>
    <t>Hong Kong, SAR China</t>
  </si>
  <si>
    <t>Israel</t>
  </si>
  <si>
    <t>Italy</t>
  </si>
  <si>
    <t>Korea (South)</t>
  </si>
  <si>
    <t>Kuwait</t>
  </si>
  <si>
    <t>Liberia</t>
  </si>
  <si>
    <t>Marshall Islands</t>
  </si>
  <si>
    <t>Netherlands</t>
  </si>
  <si>
    <t>New Zealand</t>
  </si>
  <si>
    <t>Norway</t>
  </si>
  <si>
    <t>Oman</t>
  </si>
  <si>
    <t>Qatar</t>
  </si>
  <si>
    <t>United Arab Emirates</t>
  </si>
  <si>
    <t>Note: Non-bank estimate applies 39% informal rate (PSA SOF 2024: 61% bank usage nationally) uniformly across corridors as proxy. Actual rates may vary by corridor.</t>
  </si>
  <si>
    <t>Analysis Log</t>
  </si>
  <si>
    <t>This log documents every consideration made during the Analyze phase. It feeds directly into Deliverable 4 (Summary of Analysis).</t>
  </si>
  <si>
    <t>1. PSA 2024 bank usage rate (61%) applied as uniform proxy across all corridors</t>
  </si>
  <si>
    <t>2. National grand totals used as Share denominators (sourced from BSP validated figures, Step 2 of cleaning log)</t>
  </si>
  <si>
    <t>Year</t>
  </si>
  <si>
    <t>Total_USD_000s</t>
  </si>
  <si>
    <t>Landbased_USD_000s</t>
  </si>
  <si>
    <t>Seabased_USD_000s</t>
  </si>
  <si>
    <t>Macao, SAR China</t>
  </si>
  <si>
    <t>Switzerland</t>
  </si>
  <si>
    <t>Pivot 1: Top 10 Corridors by 2024 Volume</t>
  </si>
  <si>
    <t>SUM of 2024</t>
  </si>
  <si>
    <t>Grand Total</t>
  </si>
  <si>
    <t>Pivot 2: Top 10 6-Year Cumulative Total</t>
  </si>
  <si>
    <t>SUM of 6YR_Total</t>
  </si>
  <si>
    <t>Pivot 3: COVID Impact Table</t>
  </si>
  <si>
    <t>SUM of 2019</t>
  </si>
  <si>
    <t>SUM of 2020</t>
  </si>
  <si>
    <t>SUM of 2021</t>
  </si>
  <si>
    <t>Pivot 4: Underserved Opportunity Ranking</t>
  </si>
  <si>
    <t>SUM of Nonbank_Est_USD_Billions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</si>
</sst>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8">
    <font>
      <sz val="10"/>
      <color rgb="FF000000"/>
      <name val="Arial"/>
      <charset val="134"/>
      <scheme val="minor"/>
    </font>
    <font>
      <b/>
      <sz val="12"/>
      <color rgb="FFFFFFFF"/>
      <name val="Arial"/>
      <charset val="134"/>
    </font>
    <font>
      <sz val="10"/>
      <name val="Arial"/>
      <charset val="134"/>
      <scheme val="minor"/>
    </font>
    <font>
      <b/>
      <sz val="10"/>
      <color rgb="FFFFFFFF"/>
      <name val="Arial"/>
      <charset val="134"/>
    </font>
    <font>
      <sz val="10"/>
      <color theme="1"/>
      <name val="Arial"/>
      <charset val="134"/>
      <scheme val="minor"/>
    </font>
    <font>
      <i/>
      <sz val="11"/>
      <color rgb="FF333333"/>
      <name val="Arial"/>
      <charset val="134"/>
    </font>
    <font>
      <sz val="11"/>
      <color theme="1"/>
      <name val="Arial"/>
      <charset val="134"/>
    </font>
    <font>
      <b/>
      <sz val="14"/>
      <color rgb="FFFFFFFF"/>
      <name val="Arial"/>
      <charset val="134"/>
    </font>
    <font>
      <sz val="10"/>
      <color theme="1"/>
      <name val="Arial"/>
      <charset val="134"/>
    </font>
    <font>
      <b/>
      <i/>
      <sz val="10"/>
      <color rgb="FF666666"/>
      <name val="Arial"/>
      <charset val="134"/>
    </font>
    <font>
      <sz val="10"/>
      <color rgb="FFFFFFFF"/>
      <name val="Arial"/>
      <charset val="134"/>
    </font>
    <font>
      <sz val="9"/>
      <color rgb="FFDDEEFF"/>
      <name val="Arial"/>
      <charset val="134"/>
    </font>
    <font>
      <b/>
      <sz val="11"/>
      <color rgb="FFFFFFFF"/>
      <name val="Arial"/>
      <charset val="134"/>
    </font>
    <font>
      <b/>
      <sz val="10"/>
      <color rgb="FF000000"/>
      <name val="Arial"/>
      <charset val="134"/>
    </font>
    <font>
      <sz val="10"/>
      <color rgb="FF000000"/>
      <name val="Arial"/>
      <charset val="134"/>
    </font>
    <font>
      <b/>
      <sz val="9"/>
      <color rgb="FF000000"/>
      <name val="Arial"/>
      <charset val="134"/>
    </font>
    <font>
      <b/>
      <sz val="9"/>
      <color rgb="FFFFFFFF"/>
      <name val="Arial"/>
      <charset val="134"/>
    </font>
    <font>
      <i/>
      <sz val="10"/>
      <color rgb="FF000000"/>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3">
    <fill>
      <patternFill patternType="none"/>
    </fill>
    <fill>
      <patternFill patternType="gray125"/>
    </fill>
    <fill>
      <patternFill patternType="solid">
        <fgColor rgb="FF1F4E79"/>
        <bgColor rgb="FF1F4E79"/>
      </patternFill>
    </fill>
    <fill>
      <patternFill patternType="solid">
        <fgColor rgb="FF4A568D"/>
        <bgColor rgb="FF4A568D"/>
      </patternFill>
    </fill>
    <fill>
      <patternFill patternType="solid">
        <fgColor rgb="FF1F3864"/>
        <bgColor rgb="FF1F3864"/>
      </patternFill>
    </fill>
    <fill>
      <patternFill patternType="solid">
        <fgColor rgb="FFD6E4F0"/>
        <bgColor rgb="FFD6E4F0"/>
      </patternFill>
    </fill>
    <fill>
      <patternFill patternType="solid">
        <fgColor rgb="FF2E75B6"/>
        <bgColor rgb="FF2E75B6"/>
      </patternFill>
    </fill>
    <fill>
      <patternFill patternType="solid">
        <fgColor rgb="FF2C5F8A"/>
        <bgColor rgb="FF2C5F8A"/>
      </patternFill>
    </fill>
    <fill>
      <patternFill patternType="solid">
        <fgColor rgb="FFD6E4F7"/>
        <bgColor rgb="FFD6E4F7"/>
      </patternFill>
    </fill>
    <fill>
      <patternFill patternType="solid">
        <fgColor rgb="FFFFFFFF"/>
        <bgColor rgb="FFFFFFFF"/>
      </patternFill>
    </fill>
    <fill>
      <patternFill patternType="solid">
        <fgColor rgb="FF999999"/>
        <bgColor rgb="FF999999"/>
      </patternFill>
    </fill>
    <fill>
      <patternFill patternType="solid">
        <fgColor rgb="FFF2F2F2"/>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style="thin">
        <color rgb="FFABABAB"/>
      </right>
      <top style="thin">
        <color rgb="FFABABAB"/>
      </top>
      <bottom/>
      <diagonal/>
    </border>
    <border>
      <left/>
      <right/>
      <top style="thin">
        <color rgb="FFABABAB"/>
      </top>
      <bottom/>
      <diagonal/>
    </border>
    <border>
      <left/>
      <right style="thin">
        <color rgb="FFABABAB"/>
      </right>
      <top style="thin">
        <color rgb="FFABABAB"/>
      </top>
      <bottom/>
      <diagonal/>
    </border>
    <border>
      <left/>
      <right style="thin">
        <color rgb="FFABABAB"/>
      </right>
      <top/>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8" fillId="12" borderId="17"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8" applyNumberFormat="0" applyFill="0" applyAlignment="0" applyProtection="0">
      <alignment vertical="center"/>
    </xf>
    <xf numFmtId="0" fontId="25" fillId="0" borderId="18" applyNumberFormat="0" applyFill="0" applyAlignment="0" applyProtection="0">
      <alignment vertical="center"/>
    </xf>
    <xf numFmtId="0" fontId="26" fillId="0" borderId="19" applyNumberFormat="0" applyFill="0" applyAlignment="0" applyProtection="0">
      <alignment vertical="center"/>
    </xf>
    <xf numFmtId="0" fontId="26" fillId="0" borderId="0" applyNumberFormat="0" applyFill="0" applyBorder="0" applyAlignment="0" applyProtection="0">
      <alignment vertical="center"/>
    </xf>
    <xf numFmtId="0" fontId="27" fillId="13" borderId="20" applyNumberFormat="0" applyAlignment="0" applyProtection="0">
      <alignment vertical="center"/>
    </xf>
    <xf numFmtId="0" fontId="28" fillId="14" borderId="21" applyNumberFormat="0" applyAlignment="0" applyProtection="0">
      <alignment vertical="center"/>
    </xf>
    <xf numFmtId="0" fontId="29" fillId="14" borderId="20" applyNumberFormat="0" applyAlignment="0" applyProtection="0">
      <alignment vertical="center"/>
    </xf>
    <xf numFmtId="0" fontId="30" fillId="15" borderId="22" applyNumberFormat="0" applyAlignment="0" applyProtection="0">
      <alignment vertical="center"/>
    </xf>
    <xf numFmtId="0" fontId="31" fillId="0" borderId="23" applyNumberFormat="0" applyFill="0" applyAlignment="0" applyProtection="0">
      <alignment vertical="center"/>
    </xf>
    <xf numFmtId="0" fontId="32" fillId="0" borderId="24" applyNumberFormat="0" applyFill="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6" fillId="42" borderId="0" applyNumberFormat="0" applyBorder="0" applyAlignment="0" applyProtection="0">
      <alignment vertical="center"/>
    </xf>
  </cellStyleXfs>
  <cellXfs count="57">
    <xf numFmtId="0" fontId="0" fillId="0" borderId="0" xfId="0" applyFont="1" applyAlignment="1"/>
    <xf numFmtId="0" fontId="1" fillId="2" borderId="0" xfId="0" applyFont="1" applyFill="1" applyBorder="1" applyAlignment="1">
      <alignment horizontal="center" wrapText="1"/>
    </xf>
    <xf numFmtId="0" fontId="2" fillId="0" borderId="0" xfId="0" applyFont="1" applyBorder="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0" fontId="0" fillId="0" borderId="8" xfId="0" applyFont="1" applyBorder="1" applyAlignment="1"/>
    <xf numFmtId="0" fontId="0" fillId="0" borderId="9" xfId="0" applyFont="1" applyBorder="1" applyAlignment="1"/>
    <xf numFmtId="0" fontId="0" fillId="0" borderId="3" xfId="0" applyFont="1" applyBorder="1" applyAlignment="1"/>
    <xf numFmtId="0" fontId="0" fillId="0" borderId="10" xfId="0" applyFont="1" applyBorder="1" applyAlignment="1"/>
    <xf numFmtId="0" fontId="0" fillId="0" borderId="11" xfId="0" applyFont="1" applyBorder="1" applyAlignment="1"/>
    <xf numFmtId="0" fontId="0" fillId="0" borderId="12" xfId="0" applyFont="1" applyBorder="1" applyAlignment="1"/>
    <xf numFmtId="0" fontId="3" fillId="3" borderId="0" xfId="0" applyFont="1" applyFill="1" applyAlignment="1">
      <alignment horizontal="center"/>
    </xf>
    <xf numFmtId="0" fontId="4" fillId="0" borderId="0" xfId="0" applyFont="1" applyAlignment="1">
      <alignment horizontal="center"/>
    </xf>
    <xf numFmtId="0" fontId="4" fillId="0" borderId="0" xfId="0" applyFont="1" applyAlignment="1"/>
    <xf numFmtId="4" fontId="4" fillId="0" borderId="0" xfId="0" applyNumberFormat="1" applyFont="1" applyAlignment="1"/>
    <xf numFmtId="0" fontId="1" fillId="4" borderId="13" xfId="0" applyFont="1" applyFill="1" applyBorder="1" applyAlignment="1">
      <alignment horizontal="center"/>
    </xf>
    <xf numFmtId="0" fontId="2" fillId="0" borderId="14" xfId="0" applyFont="1" applyBorder="1"/>
    <xf numFmtId="0" fontId="2" fillId="0" borderId="15" xfId="0" applyFont="1" applyBorder="1"/>
    <xf numFmtId="0" fontId="5" fillId="5" borderId="0" xfId="0" applyFont="1" applyFill="1" applyAlignment="1">
      <alignment horizontal="center" wrapText="1"/>
    </xf>
    <xf numFmtId="0" fontId="6" fillId="0" borderId="0" xfId="0" applyFont="1" applyAlignment="1"/>
    <xf numFmtId="0" fontId="7" fillId="4" borderId="0" xfId="0" applyFont="1" applyFill="1" applyAlignment="1">
      <alignment horizontal="center"/>
    </xf>
    <xf numFmtId="10" fontId="4" fillId="0" borderId="0" xfId="0" applyNumberFormat="1" applyFont="1"/>
    <xf numFmtId="0" fontId="3" fillId="3" borderId="0" xfId="0" applyFont="1" applyFill="1" applyAlignment="1">
      <alignment horizontal="center" wrapText="1"/>
    </xf>
    <xf numFmtId="0" fontId="4" fillId="0" borderId="0" xfId="0" applyFont="1" applyAlignment="1">
      <alignment wrapText="1"/>
    </xf>
    <xf numFmtId="0" fontId="8" fillId="0" borderId="0" xfId="0" applyFont="1" applyAlignment="1"/>
    <xf numFmtId="4" fontId="4" fillId="0" borderId="0" xfId="0" applyNumberFormat="1" applyFont="1" applyAlignment="1">
      <alignment horizontal="center"/>
    </xf>
    <xf numFmtId="10" fontId="4" fillId="0" borderId="0" xfId="0" applyNumberFormat="1" applyFont="1" applyAlignment="1">
      <alignment horizontal="center"/>
    </xf>
    <xf numFmtId="4" fontId="4" fillId="0" borderId="0" xfId="0" applyNumberFormat="1" applyFont="1"/>
    <xf numFmtId="0" fontId="9" fillId="0" borderId="0" xfId="0" applyFont="1" applyAlignment="1"/>
    <xf numFmtId="0" fontId="8" fillId="0" borderId="0" xfId="0" applyFont="1"/>
    <xf numFmtId="0" fontId="10" fillId="6" borderId="0" xfId="0" applyFont="1" applyFill="1" applyAlignment="1">
      <alignment horizontal="center"/>
    </xf>
    <xf numFmtId="0" fontId="11" fillId="7" borderId="0" xfId="0" applyFont="1" applyFill="1" applyAlignment="1">
      <alignment horizontal="center"/>
    </xf>
    <xf numFmtId="0" fontId="12" fillId="4" borderId="13" xfId="0" applyFont="1" applyFill="1" applyBorder="1" applyAlignment="1">
      <alignment horizontal="left"/>
    </xf>
    <xf numFmtId="0" fontId="13" fillId="8" borderId="16" xfId="0" applyFont="1" applyFill="1" applyBorder="1" applyAlignment="1">
      <alignment horizontal="left" vertical="top" wrapText="1"/>
    </xf>
    <xf numFmtId="0" fontId="14" fillId="9" borderId="13" xfId="0" applyFont="1" applyFill="1" applyBorder="1" applyAlignment="1">
      <alignment horizontal="left" vertical="top" wrapText="1"/>
    </xf>
    <xf numFmtId="0" fontId="12" fillId="4" borderId="13" xfId="0" applyFont="1" applyFill="1" applyBorder="1" applyAlignment="1">
      <alignment horizontal="left" wrapText="1"/>
    </xf>
    <xf numFmtId="0" fontId="14" fillId="9" borderId="16" xfId="0" applyFont="1" applyFill="1" applyBorder="1" applyAlignment="1">
      <alignment horizontal="center" vertical="top"/>
    </xf>
    <xf numFmtId="0" fontId="13" fillId="9" borderId="16" xfId="0" applyFont="1" applyFill="1" applyBorder="1" applyAlignment="1">
      <alignment horizontal="left" vertical="top"/>
    </xf>
    <xf numFmtId="3" fontId="14" fillId="9" borderId="16" xfId="0" applyNumberFormat="1" applyFont="1" applyFill="1" applyBorder="1" applyAlignment="1">
      <alignment horizontal="right" vertical="top"/>
    </xf>
    <xf numFmtId="0" fontId="14" fillId="9" borderId="16" xfId="0" applyFont="1" applyFill="1" applyBorder="1" applyAlignment="1">
      <alignment horizontal="left" vertical="top"/>
    </xf>
    <xf numFmtId="0" fontId="13" fillId="8" borderId="16" xfId="0" applyFont="1" applyFill="1" applyBorder="1" applyAlignment="1">
      <alignment horizontal="left" vertical="top"/>
    </xf>
    <xf numFmtId="49" fontId="15" fillId="9" borderId="16" xfId="0" applyNumberFormat="1" applyFont="1" applyFill="1" applyBorder="1" applyAlignment="1">
      <alignment horizontal="center" vertical="top"/>
    </xf>
    <xf numFmtId="0" fontId="13" fillId="9" borderId="16" xfId="0" applyFont="1" applyFill="1" applyBorder="1" applyAlignment="1">
      <alignment horizontal="center" vertical="top"/>
    </xf>
    <xf numFmtId="10" fontId="14" fillId="9" borderId="16" xfId="0" applyNumberFormat="1" applyFont="1" applyFill="1" applyBorder="1" applyAlignment="1">
      <alignment horizontal="center" vertical="top"/>
    </xf>
    <xf numFmtId="0" fontId="14" fillId="3" borderId="16" xfId="0" applyFont="1" applyFill="1" applyBorder="1" applyAlignment="1">
      <alignment horizontal="left" vertical="top"/>
    </xf>
    <xf numFmtId="0" fontId="3" fillId="3" borderId="16" xfId="0" applyFont="1" applyFill="1" applyBorder="1" applyAlignment="1">
      <alignment horizontal="center" vertical="top"/>
    </xf>
    <xf numFmtId="9" fontId="16" fillId="3" borderId="16" xfId="0" applyNumberFormat="1" applyFont="1" applyFill="1" applyBorder="1" applyAlignment="1">
      <alignment horizontal="center" vertical="top"/>
    </xf>
    <xf numFmtId="0" fontId="17" fillId="10" borderId="13" xfId="0" applyFont="1" applyFill="1" applyBorder="1" applyAlignment="1">
      <alignment horizontal="left" vertical="top" wrapText="1"/>
    </xf>
    <xf numFmtId="0" fontId="14" fillId="11" borderId="13" xfId="0" applyFont="1" applyFill="1" applyBorder="1" applyAlignment="1">
      <alignment horizontal="left" vertical="top" wrapText="1"/>
    </xf>
    <xf numFmtId="0" fontId="13" fillId="8" borderId="16" xfId="0" applyFont="1" applyFill="1" applyBorder="1" applyAlignment="1">
      <alignment horizontal="center" vertical="top" wrapText="1"/>
    </xf>
    <xf numFmtId="0" fontId="13" fillId="9" borderId="16" xfId="0" applyFont="1" applyFill="1" applyBorder="1" applyAlignment="1">
      <alignment horizontal="left" vertical="top" wrapText="1"/>
    </xf>
    <xf numFmtId="0" fontId="14" fillId="9" borderId="16" xfId="0" applyFont="1" applyFill="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invalid="1" refreshOnLoad="1" refreshedVersion="5" refreshedDate="46107.4874074074" refreshedBy="tabor" recordCount="27">
  <cacheSource type="worksheet">
    <worksheetSource ref="A3:V30" sheet="ANALYSIS"/>
  </cacheSource>
  <cacheFields count="22">
    <cacheField name="Country" numFmtId="0">
      <sharedItems count="27">
        <s v="Australia"/>
        <s v="Bahrain"/>
        <s v="Canada"/>
        <s v="Cyprus"/>
        <s v="Germany"/>
        <s v="Greece"/>
        <s v="Hong Kong, SAR China"/>
        <s v="Israel"/>
        <s v="Italy"/>
        <s v="Japan"/>
        <s v="Korea (South)"/>
        <s v="Kuwait"/>
        <s v="Liberia"/>
        <s v="Malaysia"/>
        <s v="Marshall Islands"/>
        <s v="Netherlands"/>
        <s v="New Zealand"/>
        <s v="Norway"/>
        <s v="Oman"/>
        <s v="Panama"/>
        <s v="Qatar"/>
        <s v="Saudi Arabia"/>
        <s v="Singapore"/>
        <s v="Taiwan, Republic of China"/>
        <s v="United Arab Emirates"/>
        <s v="United Kingdom"/>
        <s v="United States of America"/>
      </sharedItems>
    </cacheField>
    <cacheField name="2019" numFmtId="4">
      <sharedItems containsSemiMixedTypes="0" containsString="0" containsNumber="1" containsInteger="1" minValue="0" maxValue="11318335" count="25">
        <n v="442309"/>
        <n v="323033"/>
        <n v="1015805"/>
        <n v="196902"/>
        <n v="762304"/>
        <n v="152742"/>
        <n v="801749"/>
        <n v="0"/>
        <n v="217405"/>
        <n v="1795383"/>
        <n v="683211"/>
        <n v="759081"/>
        <n v="466775"/>
        <n v="322207"/>
        <n v="180265"/>
        <n v="177854"/>
        <n v="229476"/>
        <n v="177098"/>
        <n v="758136"/>
        <n v="2098287"/>
        <n v="1906494"/>
        <n v="597628"/>
        <n v="1592453"/>
        <n v="1566958"/>
        <n v="11318335"/>
      </sharedItems>
    </cacheField>
    <cacheField name="2020" numFmtId="4">
      <sharedItems containsSemiMixedTypes="0" containsString="0" containsNumber="1" containsInteger="1" minValue="0" maxValue="11936353" count="27">
        <n v="319129"/>
        <n v="228554"/>
        <n v="1028866"/>
        <n v="321256"/>
        <n v="585962"/>
        <n v="227187"/>
        <n v="821160"/>
        <n v="0"/>
        <n v="179367"/>
        <n v="1576557"/>
        <n v="707635"/>
        <n v="580625"/>
        <n v="140610"/>
        <n v="481893"/>
        <n v="216207"/>
        <n v="184440"/>
        <n v="107468"/>
        <n v="162508"/>
        <n v="386091"/>
        <n v="257198"/>
        <n v="820402"/>
        <n v="1811538"/>
        <n v="2148447"/>
        <n v="690394"/>
        <n v="1287255"/>
        <n v="1371170"/>
        <n v="11936353"/>
      </sharedItems>
    </cacheField>
    <cacheField name="2021" numFmtId="4">
      <sharedItems containsSemiMixedTypes="0" containsString="0" containsNumber="1" containsInteger="1" minValue="118037" maxValue="12735977" count="27">
        <n v="284924"/>
        <n v="225890"/>
        <n v="1147796"/>
        <n v="364133"/>
        <n v="609108"/>
        <n v="296023"/>
        <n v="722229"/>
        <n v="119837"/>
        <n v="164366"/>
        <n v="1611196"/>
        <n v="788166"/>
        <n v="576059"/>
        <n v="154652"/>
        <n v="618216"/>
        <n v="272154"/>
        <n v="176598"/>
        <n v="118037"/>
        <n v="165800"/>
        <n v="361674"/>
        <n v="300146"/>
        <n v="829482"/>
        <n v="1835200"/>
        <n v="2200990"/>
        <n v="841880"/>
        <n v="1320218"/>
        <n v="1482662"/>
        <n v="12735977"/>
      </sharedItems>
    </cacheField>
    <cacheField name="2022" numFmtId="4">
      <sharedItems containsSemiMixedTypes="0" containsString="0" containsNumber="1" containsInteger="1" minValue="110602" maxValue="13396567" count="27">
        <n v="291794"/>
        <n v="244904"/>
        <n v="1172530"/>
        <n v="384391"/>
        <n v="592543"/>
        <n v="289307"/>
        <n v="732360"/>
        <n v="110602"/>
        <n v="151525"/>
        <n v="1644737"/>
        <n v="811729"/>
        <n v="597186"/>
        <n v="166276"/>
        <n v="633885"/>
        <n v="287844"/>
        <n v="175989"/>
        <n v="126194"/>
        <n v="154114"/>
        <n v="334039"/>
        <n v="320745"/>
        <n v="895334"/>
        <n v="1945227"/>
        <n v="2290977"/>
        <n v="876216"/>
        <n v="1350637"/>
        <n v="1530171"/>
        <n v="13396567"/>
      </sharedItems>
    </cacheField>
    <cacheField name="2023" numFmtId="4">
      <sharedItems containsSemiMixedTypes="0" containsString="0" containsNumber="1" containsInteger="1" minValue="109136" maxValue="13709979" count="27">
        <n v="301261"/>
        <n v="254996"/>
        <n v="1208259"/>
        <n v="391768"/>
        <n v="607552"/>
        <n v="296638"/>
        <n v="764302"/>
        <n v="109136"/>
        <n v="154189"/>
        <n v="1684930"/>
        <n v="834749"/>
        <n v="585172"/>
        <n v="171315"/>
        <n v="650600"/>
        <n v="294667"/>
        <n v="179898"/>
        <n v="130960"/>
        <n v="158182"/>
        <n v="342063"/>
        <n v="331047"/>
        <n v="932385"/>
        <n v="2060096"/>
        <n v="2363634"/>
        <n v="904927"/>
        <n v="1424592"/>
        <n v="1581886"/>
        <n v="13709979"/>
      </sharedItems>
    </cacheField>
    <cacheField name="2024" numFmtId="4">
      <sharedItems containsSemiMixedTypes="0" containsString="0" containsNumber="1" containsInteger="1" minValue="106411" maxValue="14013899" count="27">
        <n v="307064"/>
        <n v="261458"/>
        <n v="1230773"/>
        <n v="394866"/>
        <n v="622561"/>
        <n v="302922"/>
        <n v="801831"/>
        <n v="106411"/>
        <n v="155782"/>
        <n v="1706720"/>
        <n v="853749"/>
        <n v="587166"/>
        <n v="176320"/>
        <n v="661182"/>
        <n v="305231"/>
        <n v="183551"/>
        <n v="134883"/>
        <n v="160151"/>
        <n v="347825"/>
        <n v="339737"/>
        <n v="977055"/>
        <n v="2219250"/>
        <n v="2481459"/>
        <n v="948248"/>
        <n v="1521332"/>
        <n v="1622046"/>
        <n v="14013899"/>
      </sharedItems>
    </cacheField>
    <cacheField name="6YR_Total" numFmtId="4">
      <sharedItems containsSemiMixedTypes="0" containsString="0" containsNumber="1" containsInteger="1" minValue="445986" maxValue="77111110" count="27">
        <n v="1946481"/>
        <n v="1538835"/>
        <n v="6804029"/>
        <n v="2053316"/>
        <n v="3780030"/>
        <n v="1564819"/>
        <n v="4643631"/>
        <n v="445986"/>
        <n v="1022634"/>
        <n v="10019523"/>
        <n v="4679239"/>
        <n v="3685289"/>
        <n v="809173"/>
        <n v="3512551"/>
        <n v="1376103"/>
        <n v="1222683"/>
        <n v="797807"/>
        <n v="978609"/>
        <n v="2001168"/>
        <n v="1725971"/>
        <n v="5212794"/>
        <n v="11969598"/>
        <n v="13392001"/>
        <n v="4859293"/>
        <n v="8496487"/>
        <n v="9154893"/>
        <n v="77111110"/>
      </sharedItems>
    </cacheField>
    <cacheField name="CAGR_2019_2024" numFmtId="10">
      <sharedItems containsNumber="1" containsMixedTypes="1" count="25">
        <n v="-0.0703903457766362"/>
        <n v="-0.041414161322482"/>
        <n v="0.0391387085030615"/>
        <n v="0.149317243500891"/>
        <n v="-0.0396915673884374"/>
        <n v="0.146765102941433"/>
        <n v="2.04544428592524e-5"/>
        <s v="N/A"/>
        <n v="-0.0644875976453014"/>
        <n v="-0.0100778684546846"/>
        <n v="0.0455747134933127"/>
        <n v="-0.0500635425036367"/>
        <n v="0.0721182451732325"/>
        <n v="-0.106438688820596"/>
        <n v="-0.0563538751788582"/>
        <n v="-0.0207508493309415"/>
        <n v="0.0867376277314624"/>
        <n v="0.139162914818465"/>
        <n v="0.0520451495659295"/>
        <n v="0.0112726636701106"/>
        <n v="0.054130385727805"/>
        <n v="0.0967261523722887"/>
        <n v="-0.00909624214162463"/>
        <n v="0.00693436315055118"/>
        <n v="0.0436509861753018"/>
      </sharedItems>
    </cacheField>
    <cacheField name="YoY_2019_2020" numFmtId="10">
      <sharedItems containsNumber="1" containsMixedTypes="1" count="25">
        <n v="-0.278493089672604"/>
        <n v="-0.292474762640349"/>
        <n v="0.0128577827437353"/>
        <n v="0.631552752130502"/>
        <n v="-0.231327659306523"/>
        <n v="0.4873905016302"/>
        <n v="0.0242108190967497"/>
        <s v="N/A"/>
        <n v="-0.174963777282031"/>
        <n v="-0.121882628943239"/>
        <n v="0.0357488389384831"/>
        <n v="-0.235094805429197"/>
        <n v="0.0323881955974506"/>
        <n v="-0.42757295775697"/>
        <n v="-0.403833245499681"/>
        <n v="-0.0862842556254006"/>
        <n v="0.682489672122575"/>
        <n v="0.452291951348971"/>
        <n v="0.0821303829392088"/>
        <n v="-0.136658617243494"/>
        <n v="0.126909919464735"/>
        <n v="0.15522365083296"/>
        <n v="-0.191652752074944"/>
        <n v="-0.12494782885055"/>
        <n v="0.0546032609920099"/>
      </sharedItems>
    </cacheField>
    <cacheField name="YoY_2020_2021" numFmtId="10">
      <sharedItems containsNumber="1" containsMixedTypes="1" count="27">
        <n v="-0.107182361991546"/>
        <n v="-0.0116558887615181"/>
        <n v="0.115593284256648"/>
        <n v="0.133466767935852"/>
        <n v="0.0395008550042494"/>
        <n v="0.302992688842231"/>
        <n v="-0.120477129913781"/>
        <s v="N/A"/>
        <n v="-0.0836329982661248"/>
        <n v="0.02197129567786"/>
        <n v="0.113803019918461"/>
        <n v="-0.00786393972012917"/>
        <n v="0.0998648744754996"/>
        <n v="0.282890600195479"/>
        <n v="0.258765904896696"/>
        <n v="-0.0425178919973975"/>
        <n v="0.0983455540253843"/>
        <n v="0.020257464247914"/>
        <n v="-0.0632415674025036"/>
        <n v="0.166984191167894"/>
        <n v="0.0110677448372871"/>
        <n v="0.01306182923019"/>
        <n v="0.0244562700406387"/>
        <n v="0.219419635744227"/>
        <n v="0.0256072029240516"/>
        <n v="0.0813115806209296"/>
        <n v="0.0669906461378949"/>
      </sharedItems>
    </cacheField>
    <cacheField name="YoY_2021_2022" numFmtId="10">
      <sharedItems containsSemiMixedTypes="0" containsString="0" containsNumber="1" minValue="-0.0781244296265651" maxValue="0.0841737128690956" count="27">
        <n v="0.0241116929426795"/>
        <n v="0.0841737128690956"/>
        <n v="0.021549125454349"/>
        <n v="0.0556335185220785"/>
        <n v="-0.0271955055589485"/>
        <n v="-0.0226874263148472"/>
        <n v="0.0140274068197206"/>
        <n v="-0.0770630105893839"/>
        <n v="-0.0781244296265651"/>
        <n v="0.0208174548596198"/>
        <n v="0.029895986378504"/>
        <n v="0.0366750627973871"/>
        <n v="0.0751622998732638"/>
        <n v="0.0253455103070771"/>
        <n v="0.0576511827862166"/>
        <n v="-0.00344851017565318"/>
        <n v="0.0691054499860213"/>
        <n v="-0.0704825090470446"/>
        <n v="-0.0764085889502701"/>
        <n v="0.0686299334323962"/>
        <n v="0.0793893056148295"/>
        <n v="0.0599536835222319"/>
        <n v="0.0408847836655323"/>
        <n v="0.0407849099634152"/>
        <n v="0.0230408917315171"/>
        <n v="0.0320430415023788"/>
        <n v="0.0518680270857901"/>
      </sharedItems>
    </cacheField>
    <cacheField name="YoY_2022_2023" numFmtId="10">
      <sharedItems containsSemiMixedTypes="0" containsString="0" containsNumber="1" minValue="-0.0201176852772838" maxValue="0.0590517199278028" count="27">
        <n v="0.0324441215377972"/>
        <n v="0.0412079835364061"/>
        <n v="0.0304717150094241"/>
        <n v="0.0191913962605784"/>
        <n v="0.0253298072882474"/>
        <n v="0.0253398638816206"/>
        <n v="0.0436151619422142"/>
        <n v="-0.013254733187465"/>
        <n v="0.0175812572182808"/>
        <n v="0.0244373416540152"/>
        <n v="0.0283592184090996"/>
        <n v="-0.0201176852772838"/>
        <n v="0.0303050350020448"/>
        <n v="0.0263691363575412"/>
        <n v="0.0237038117869401"/>
        <n v="0.0222116154986959"/>
        <n v="0.0377672472542276"/>
        <n v="0.0263960444865489"/>
        <n v="0.0240211472313113"/>
        <n v="0.0321189730159472"/>
        <n v="0.0413823221278316"/>
        <n v="0.0590517199278028"/>
        <n v="0.0317144170369236"/>
        <n v="0.03276703461247"/>
        <n v="0.0547556449290224"/>
        <n v="0.0337968762968322"/>
        <n v="0.0233949488701098"/>
      </sharedItems>
    </cacheField>
    <cacheField name="YoY_2023_2024" numFmtId="10">
      <sharedItems containsSemiMixedTypes="0" containsString="0" containsNumber="1" minValue="-0.0249688462102331" maxValue="0.0772556230389263" count="27">
        <n v="0.019262367183273"/>
        <n v="0.0253415739854743"/>
        <n v="0.0186334221387964"/>
        <n v="0.00790774131628923"/>
        <n v="0.0247040582534499"/>
        <n v="0.0211840694718816"/>
        <n v="0.0491023181935936"/>
        <n v="-0.0249688462102331"/>
        <n v="0.0103314763050542"/>
        <n v="0.012932287988225"/>
        <n v="0.022761333047419"/>
        <n v="0.00340754513202956"/>
        <n v="0.0292151883956455"/>
        <n v="0.0162649861666154"/>
        <n v="0.0358506381780111"/>
        <n v="0.0203059511500962"/>
        <n v="0.0299557116676848"/>
        <n v="0.0124476868417393"/>
        <n v="0.01684485021765"/>
        <n v="0.0262500490866856"/>
        <n v="0.047909393651764"/>
        <n v="0.0772556230389263"/>
        <n v="0.0498490883106268"/>
        <n v="0.0478723698154658"/>
        <n v="0.0679071621909993"/>
        <n v="0.025387417298086"/>
        <n v="0.022167794713617"/>
      </sharedItems>
    </cacheField>
    <cacheField name="Share_2019" numFmtId="10">
      <sharedItems containsNumber="1" containsMixedTypes="1" count="25">
        <n v="0.0146784122548808"/>
        <n v="0.0107201335399707"/>
        <n v="0.0337103802105976"/>
        <n v="0.00653436563536022"/>
        <n v="0.0252977270992556"/>
        <n v="0.00506887728858107"/>
        <n v="0.0266067440340089"/>
        <s v="N/A"/>
        <n v="0.00721477568006159"/>
        <n v="0.0595813601563719"/>
        <n v="0.0226729564966333"/>
        <n v="0.0251907690163374"/>
        <n v="0.0154903379317897"/>
        <n v="0.0106927220052235"/>
        <n v="0.00598225219275685"/>
        <n v="0.00590224104230204"/>
        <n v="0.00761536240637434"/>
        <n v="0.00587715251897403"/>
        <n v="0.0251594083621774"/>
        <n v="0.0696334951697955"/>
        <n v="0.0632686761821639"/>
        <n v="0.0198328095495681"/>
        <n v="0.0528469500519359"/>
        <n v="0.0520008761071638"/>
        <n v="0.375608877885927"/>
      </sharedItems>
    </cacheField>
    <cacheField name="Share_2020" numFmtId="10">
      <sharedItems containsNumber="1" containsMixedTypes="1" count="27">
        <n v="0.0106720485555152"/>
        <n v="0.00764311418127845"/>
        <n v="0.0344064873738164"/>
        <n v="0.0107431779335334"/>
        <n v="0.0195952574529008"/>
        <n v="0.00759740009582903"/>
        <n v="0.0274605547971097"/>
        <s v="N/A"/>
        <n v="0.00599824313446001"/>
        <n v="0.0527219176400055"/>
        <n v="0.0236641454696438"/>
        <n v="0.0194167819049538"/>
        <n v="0.00470216353697403"/>
        <n v="0.01611506787087"/>
        <n v="0.0072302160005586"/>
        <n v="0.00616789021235681"/>
        <n v="0.00359385613392736"/>
        <n v="0.00543445837470007"/>
        <n v="0.0129113364778738"/>
        <n v="0.0086010031817271"/>
        <n v="0.0274352063868898"/>
        <n v="0.0605799582493626"/>
        <n v="0.0718465908862901"/>
        <n v="0.0230875861812506"/>
        <n v="0.0430473189942928"/>
        <n v="0.0458535351468081"/>
        <n v="0.39916566276261"/>
      </sharedItems>
    </cacheField>
    <cacheField name="Share_2021" numFmtId="10">
      <sharedItems containsSemiMixedTypes="0" containsString="0" containsNumber="1" minValue="0.00375703259961116" maxValue="0.405376964654286" count="27">
        <n v="0.00906892547600846"/>
        <n v="0.00718991582237913"/>
        <n v="0.0365335190635419"/>
        <n v="0.0115900908324865"/>
        <n v="0.0193874684436571"/>
        <n v="0.00942219864309237"/>
        <n v="0.0229880283079422"/>
        <n v="0.00381432530172406"/>
        <n v="0.00523165126416029"/>
        <n v="0.0512832069297178"/>
        <n v="0.0250867554741745"/>
        <n v="0.0183355426035854"/>
        <n v="0.00492246164842435"/>
        <n v="0.0196773695163484"/>
        <n v="0.0086624655837964"/>
        <n v="0.00562098700429638"/>
        <n v="0.00375703259961116"/>
        <n v="0.0052772944501769"/>
        <n v="0.0115118226355445"/>
        <n v="0.00955343076020986"/>
        <n v="0.0264018139633392"/>
        <n v="0.0584130927319942"/>
        <n v="0.0700559246797036"/>
        <n v="0.0267964333637812"/>
        <n v="0.0420215869989363"/>
        <n v="0.0471920623889516"/>
        <n v="0.405376964654286"/>
      </sharedItems>
    </cacheField>
    <cacheField name="Share_2022" numFmtId="10">
      <sharedItems containsSemiMixedTypes="0" containsString="0" containsNumber="1" minValue="0.0033990146723529" maxValue="0.411702571311175" count="27">
        <n v="0.00896739740063056"/>
        <n v="0.00752637646080463"/>
        <n v="0.0360341284404798"/>
        <n v="0.0118130833883691"/>
        <n v="0.0182099993761415"/>
        <n v="0.00889096705135892"/>
        <n v="0.0225068478458289"/>
        <n v="0.0033990146723529"/>
        <n v="0.00465665809142938"/>
        <n v="0.0505459683835888"/>
        <n v="0.0249460116541685"/>
        <n v="0.0183526878006161"/>
        <n v="0.0051099850243228"/>
        <n v="0.0194805194805195"/>
        <n v="0.00884600621461409"/>
        <n v="0.00540848441414001"/>
        <n v="0.00387818717168678"/>
        <n v="0.00473622309917537"/>
        <n v="0.0102656684520903"/>
        <n v="0.00985711796426674"/>
        <n v="0.0275153559850311"/>
        <n v="0.0597806107851305"/>
        <n v="0.0704061810548003"/>
        <n v="0.0269278226447114"/>
        <n v="0.0415077031158813"/>
        <n v="0.0470251322779778"/>
        <n v="0.411702571311175"/>
      </sharedItems>
    </cacheField>
    <cacheField name="Share_2023" numFmtId="10">
      <sharedItems containsSemiMixedTypes="0" containsString="0" containsNumber="1" minValue="0.00325867331841785" maxValue="0.409363938236412" count="27">
        <n v="0.00899530111585435"/>
        <n v="0.00761388232575208"/>
        <n v="0.0360772006032678"/>
        <n v="0.0116977342820877"/>
        <n v="0.0181407921487997"/>
        <n v="0.00885726374275065"/>
        <n v="0.0228211638195774"/>
        <n v="0.00325867331841785"/>
        <n v="0.0046039032060322"/>
        <n v="0.0503100391658279"/>
        <n v="0.024924628847273"/>
        <n v="0.0174725515236513"/>
        <n v="0.00511526553607201"/>
        <n v="0.0194261550813907"/>
        <n v="0.00879841198796211"/>
        <n v="0.00537154387770062"/>
        <n v="0.00391031243384403"/>
        <n v="0.00472312951596149"/>
        <n v="0.010213601115287"/>
        <n v="0.00988467623920865"/>
        <n v="0.0278399256156816"/>
        <n v="0.061512057145024"/>
        <n v="0.0705753468177802"/>
        <n v="0.0270200618495814"/>
        <n v="0.0425366509678889"/>
        <n v="0.0472332658424236"/>
        <n v="0.409363938236412"/>
      </sharedItems>
    </cacheField>
    <cacheField name="Share_2024" numFmtId="10">
      <sharedItems containsSemiMixedTypes="0" containsString="0" containsNumber="1" minValue="0.00308503709895474" maxValue="0.406286928193559" count="27">
        <n v="0.0089023111497255"/>
        <n v="0.00758011511797192"/>
        <n v="0.0356822167387942"/>
        <n v="0.0114478414742448"/>
        <n v="0.0180491094093878"/>
        <n v="0.00878222747732442"/>
        <n v="0.0232464536757664"/>
        <n v="0.00308503709895474"/>
        <n v="0.00451638692756734"/>
        <n v="0.0494807352391016"/>
        <n v="0.0247516453956406"/>
        <n v="0.0170229477520638"/>
        <n v="0.00511181871505484"/>
        <n v="0.019168798330634"/>
        <n v="0.00884916934105549"/>
        <n v="0.00532145778679124"/>
        <n v="0.00391048913193479"/>
        <n v="0.0046430517186635"/>
        <n v="0.0100840423353219"/>
        <n v="0.00984955736613309"/>
        <n v="0.0283264974741261"/>
        <n v="0.0643398575509611"/>
        <n v="0.0719417454448802"/>
        <n v="0.0274913332175211"/>
        <n v="0.0441060196767911"/>
        <n v="0.0470258909906978"/>
        <n v="0.406286928193559"/>
      </sharedItems>
    </cacheField>
    <cacheField name="Nonbank_Est_USD_000s" numFmtId="4">
      <sharedItems containsSemiMixedTypes="0" containsString="0" containsNumber="1" minValue="41500.29" maxValue="5465420.61" count="27">
        <n v="119754.96"/>
        <n v="101968.62"/>
        <n v="480001.47"/>
        <n v="153997.74"/>
        <n v="242798.79"/>
        <n v="118139.58"/>
        <n v="312714.09"/>
        <n v="41500.29"/>
        <n v="60754.98"/>
        <n v="665620.8"/>
        <n v="332962.11"/>
        <n v="228994.74"/>
        <n v="68764.8"/>
        <n v="257860.98"/>
        <n v="119040.09"/>
        <n v="71584.89"/>
        <n v="52604.37"/>
        <n v="62458.89"/>
        <n v="135651.75"/>
        <n v="132497.43"/>
        <n v="381051.45"/>
        <n v="865507.5"/>
        <n v="967769.01"/>
        <n v="369816.72"/>
        <n v="593319.48"/>
        <n v="632597.94"/>
        <n v="5465420.61"/>
      </sharedItems>
    </cacheField>
    <cacheField name="Nonbank_Est_USD_Billions" numFmtId="4">
      <sharedItems containsSemiMixedTypes="0" containsString="0" containsNumber="1" minValue="0.04150029" maxValue="5.46542061" count="27">
        <n v="0.11975496"/>
        <n v="0.10196862"/>
        <n v="0.48000147"/>
        <n v="0.15399774"/>
        <n v="0.24279879"/>
        <n v="0.11813958"/>
        <n v="0.31271409"/>
        <n v="0.04150029"/>
        <n v="0.06075498"/>
        <n v="0.6656208"/>
        <n v="0.33296211"/>
        <n v="0.22899474"/>
        <n v="0.0687648"/>
        <n v="0.25786098"/>
        <n v="0.11904009"/>
        <n v="0.07158489"/>
        <n v="0.05260437"/>
        <n v="0.06245889"/>
        <n v="0.13565175"/>
        <n v="0.13249743"/>
        <n v="0.38105145"/>
        <n v="0.8655075"/>
        <n v="0.96776901"/>
        <n v="0.36981672"/>
        <n v="0.59331948"/>
        <n v="0.63259794"/>
        <n v="5.46542061"/>
      </sharedItems>
    </cacheField>
  </cacheFields>
</pivotCacheDefinition>
</file>

<file path=xl/pivotCache/pivotCacheRecords1.xml><?xml version="1.0" encoding="utf-8"?>
<pivotCacheRecords xmlns="http://schemas.openxmlformats.org/spreadsheetml/2006/main" xmlns:r="http://schemas.openxmlformats.org/officeDocument/2006/relationships" count="27">
  <r>
    <x v="0"/>
    <x v="0"/>
    <x v="0"/>
    <x v="0"/>
    <x v="0"/>
    <x v="0"/>
    <x v="0"/>
    <x v="0"/>
    <x v="0"/>
    <x v="0"/>
    <x v="0"/>
    <x v="0"/>
    <x v="0"/>
    <x v="0"/>
    <x v="0"/>
    <x v="0"/>
    <x v="0"/>
    <x v="0"/>
    <x v="0"/>
    <x v="0"/>
    <x v="0"/>
    <x v="0"/>
  </r>
  <r>
    <x v="1"/>
    <x v="1"/>
    <x v="1"/>
    <x v="1"/>
    <x v="1"/>
    <x v="1"/>
    <x v="1"/>
    <x v="1"/>
    <x v="1"/>
    <x v="1"/>
    <x v="1"/>
    <x v="1"/>
    <x v="1"/>
    <x v="1"/>
    <x v="1"/>
    <x v="1"/>
    <x v="1"/>
    <x v="1"/>
    <x v="1"/>
    <x v="1"/>
    <x v="1"/>
    <x v="1"/>
  </r>
  <r>
    <x v="2"/>
    <x v="2"/>
    <x v="2"/>
    <x v="2"/>
    <x v="2"/>
    <x v="2"/>
    <x v="2"/>
    <x v="2"/>
    <x v="2"/>
    <x v="2"/>
    <x v="2"/>
    <x v="2"/>
    <x v="2"/>
    <x v="2"/>
    <x v="2"/>
    <x v="2"/>
    <x v="2"/>
    <x v="2"/>
    <x v="2"/>
    <x v="2"/>
    <x v="2"/>
    <x v="2"/>
  </r>
  <r>
    <x v="3"/>
    <x v="3"/>
    <x v="3"/>
    <x v="3"/>
    <x v="3"/>
    <x v="3"/>
    <x v="3"/>
    <x v="3"/>
    <x v="3"/>
    <x v="3"/>
    <x v="3"/>
    <x v="3"/>
    <x v="3"/>
    <x v="3"/>
    <x v="3"/>
    <x v="3"/>
    <x v="3"/>
    <x v="3"/>
    <x v="3"/>
    <x v="3"/>
    <x v="3"/>
    <x v="3"/>
  </r>
  <r>
    <x v="4"/>
    <x v="4"/>
    <x v="4"/>
    <x v="4"/>
    <x v="4"/>
    <x v="4"/>
    <x v="4"/>
    <x v="4"/>
    <x v="4"/>
    <x v="4"/>
    <x v="4"/>
    <x v="4"/>
    <x v="4"/>
    <x v="4"/>
    <x v="4"/>
    <x v="4"/>
    <x v="4"/>
    <x v="4"/>
    <x v="4"/>
    <x v="4"/>
    <x v="4"/>
    <x v="4"/>
  </r>
  <r>
    <x v="5"/>
    <x v="5"/>
    <x v="5"/>
    <x v="5"/>
    <x v="5"/>
    <x v="5"/>
    <x v="5"/>
    <x v="5"/>
    <x v="5"/>
    <x v="5"/>
    <x v="5"/>
    <x v="5"/>
    <x v="5"/>
    <x v="5"/>
    <x v="5"/>
    <x v="5"/>
    <x v="5"/>
    <x v="5"/>
    <x v="5"/>
    <x v="5"/>
    <x v="5"/>
    <x v="5"/>
  </r>
  <r>
    <x v="6"/>
    <x v="6"/>
    <x v="6"/>
    <x v="6"/>
    <x v="6"/>
    <x v="6"/>
    <x v="6"/>
    <x v="6"/>
    <x v="6"/>
    <x v="6"/>
    <x v="6"/>
    <x v="6"/>
    <x v="6"/>
    <x v="6"/>
    <x v="6"/>
    <x v="6"/>
    <x v="6"/>
    <x v="6"/>
    <x v="6"/>
    <x v="6"/>
    <x v="6"/>
    <x v="6"/>
  </r>
  <r>
    <x v="7"/>
    <x v="7"/>
    <x v="7"/>
    <x v="7"/>
    <x v="7"/>
    <x v="7"/>
    <x v="7"/>
    <x v="7"/>
    <x v="7"/>
    <x v="7"/>
    <x v="7"/>
    <x v="7"/>
    <x v="7"/>
    <x v="7"/>
    <x v="7"/>
    <x v="7"/>
    <x v="7"/>
    <x v="7"/>
    <x v="7"/>
    <x v="7"/>
    <x v="7"/>
    <x v="7"/>
  </r>
  <r>
    <x v="8"/>
    <x v="8"/>
    <x v="8"/>
    <x v="8"/>
    <x v="8"/>
    <x v="8"/>
    <x v="8"/>
    <x v="8"/>
    <x v="8"/>
    <x v="8"/>
    <x v="8"/>
    <x v="8"/>
    <x v="8"/>
    <x v="8"/>
    <x v="8"/>
    <x v="8"/>
    <x v="8"/>
    <x v="8"/>
    <x v="8"/>
    <x v="8"/>
    <x v="8"/>
    <x v="8"/>
  </r>
  <r>
    <x v="9"/>
    <x v="9"/>
    <x v="9"/>
    <x v="9"/>
    <x v="9"/>
    <x v="9"/>
    <x v="9"/>
    <x v="9"/>
    <x v="9"/>
    <x v="9"/>
    <x v="9"/>
    <x v="9"/>
    <x v="9"/>
    <x v="9"/>
    <x v="9"/>
    <x v="9"/>
    <x v="9"/>
    <x v="9"/>
    <x v="9"/>
    <x v="9"/>
    <x v="9"/>
    <x v="9"/>
  </r>
  <r>
    <x v="10"/>
    <x v="10"/>
    <x v="10"/>
    <x v="10"/>
    <x v="10"/>
    <x v="10"/>
    <x v="10"/>
    <x v="10"/>
    <x v="10"/>
    <x v="10"/>
    <x v="10"/>
    <x v="10"/>
    <x v="10"/>
    <x v="10"/>
    <x v="10"/>
    <x v="10"/>
    <x v="10"/>
    <x v="10"/>
    <x v="10"/>
    <x v="10"/>
    <x v="10"/>
    <x v="10"/>
  </r>
  <r>
    <x v="11"/>
    <x v="11"/>
    <x v="11"/>
    <x v="11"/>
    <x v="11"/>
    <x v="11"/>
    <x v="11"/>
    <x v="11"/>
    <x v="11"/>
    <x v="11"/>
    <x v="11"/>
    <x v="11"/>
    <x v="11"/>
    <x v="11"/>
    <x v="11"/>
    <x v="11"/>
    <x v="11"/>
    <x v="11"/>
    <x v="11"/>
    <x v="11"/>
    <x v="11"/>
    <x v="11"/>
  </r>
  <r>
    <x v="12"/>
    <x v="7"/>
    <x v="12"/>
    <x v="12"/>
    <x v="12"/>
    <x v="12"/>
    <x v="12"/>
    <x v="12"/>
    <x v="7"/>
    <x v="7"/>
    <x v="12"/>
    <x v="12"/>
    <x v="12"/>
    <x v="12"/>
    <x v="7"/>
    <x v="12"/>
    <x v="12"/>
    <x v="12"/>
    <x v="12"/>
    <x v="12"/>
    <x v="12"/>
    <x v="12"/>
  </r>
  <r>
    <x v="13"/>
    <x v="12"/>
    <x v="13"/>
    <x v="13"/>
    <x v="13"/>
    <x v="13"/>
    <x v="13"/>
    <x v="13"/>
    <x v="12"/>
    <x v="12"/>
    <x v="13"/>
    <x v="13"/>
    <x v="13"/>
    <x v="13"/>
    <x v="12"/>
    <x v="13"/>
    <x v="13"/>
    <x v="13"/>
    <x v="13"/>
    <x v="13"/>
    <x v="13"/>
    <x v="13"/>
  </r>
  <r>
    <x v="14"/>
    <x v="7"/>
    <x v="14"/>
    <x v="14"/>
    <x v="14"/>
    <x v="14"/>
    <x v="14"/>
    <x v="14"/>
    <x v="7"/>
    <x v="7"/>
    <x v="14"/>
    <x v="14"/>
    <x v="14"/>
    <x v="14"/>
    <x v="7"/>
    <x v="14"/>
    <x v="14"/>
    <x v="14"/>
    <x v="14"/>
    <x v="14"/>
    <x v="14"/>
    <x v="14"/>
  </r>
  <r>
    <x v="15"/>
    <x v="13"/>
    <x v="15"/>
    <x v="15"/>
    <x v="15"/>
    <x v="15"/>
    <x v="15"/>
    <x v="15"/>
    <x v="13"/>
    <x v="13"/>
    <x v="15"/>
    <x v="15"/>
    <x v="15"/>
    <x v="15"/>
    <x v="13"/>
    <x v="15"/>
    <x v="15"/>
    <x v="15"/>
    <x v="15"/>
    <x v="15"/>
    <x v="15"/>
    <x v="15"/>
  </r>
  <r>
    <x v="16"/>
    <x v="14"/>
    <x v="16"/>
    <x v="16"/>
    <x v="16"/>
    <x v="16"/>
    <x v="16"/>
    <x v="16"/>
    <x v="14"/>
    <x v="14"/>
    <x v="16"/>
    <x v="16"/>
    <x v="16"/>
    <x v="16"/>
    <x v="14"/>
    <x v="16"/>
    <x v="16"/>
    <x v="16"/>
    <x v="16"/>
    <x v="16"/>
    <x v="16"/>
    <x v="16"/>
  </r>
  <r>
    <x v="17"/>
    <x v="15"/>
    <x v="17"/>
    <x v="17"/>
    <x v="17"/>
    <x v="17"/>
    <x v="17"/>
    <x v="17"/>
    <x v="15"/>
    <x v="15"/>
    <x v="17"/>
    <x v="17"/>
    <x v="17"/>
    <x v="17"/>
    <x v="15"/>
    <x v="17"/>
    <x v="17"/>
    <x v="17"/>
    <x v="17"/>
    <x v="17"/>
    <x v="17"/>
    <x v="17"/>
  </r>
  <r>
    <x v="18"/>
    <x v="16"/>
    <x v="18"/>
    <x v="18"/>
    <x v="18"/>
    <x v="18"/>
    <x v="18"/>
    <x v="18"/>
    <x v="16"/>
    <x v="16"/>
    <x v="18"/>
    <x v="18"/>
    <x v="18"/>
    <x v="18"/>
    <x v="16"/>
    <x v="18"/>
    <x v="18"/>
    <x v="18"/>
    <x v="18"/>
    <x v="18"/>
    <x v="18"/>
    <x v="18"/>
  </r>
  <r>
    <x v="19"/>
    <x v="17"/>
    <x v="19"/>
    <x v="19"/>
    <x v="19"/>
    <x v="19"/>
    <x v="19"/>
    <x v="19"/>
    <x v="17"/>
    <x v="17"/>
    <x v="19"/>
    <x v="19"/>
    <x v="19"/>
    <x v="19"/>
    <x v="17"/>
    <x v="19"/>
    <x v="19"/>
    <x v="19"/>
    <x v="19"/>
    <x v="19"/>
    <x v="19"/>
    <x v="19"/>
  </r>
  <r>
    <x v="20"/>
    <x v="18"/>
    <x v="20"/>
    <x v="20"/>
    <x v="20"/>
    <x v="20"/>
    <x v="20"/>
    <x v="20"/>
    <x v="18"/>
    <x v="18"/>
    <x v="20"/>
    <x v="20"/>
    <x v="20"/>
    <x v="20"/>
    <x v="18"/>
    <x v="20"/>
    <x v="20"/>
    <x v="20"/>
    <x v="20"/>
    <x v="20"/>
    <x v="20"/>
    <x v="20"/>
  </r>
  <r>
    <x v="21"/>
    <x v="19"/>
    <x v="21"/>
    <x v="21"/>
    <x v="21"/>
    <x v="21"/>
    <x v="21"/>
    <x v="21"/>
    <x v="19"/>
    <x v="19"/>
    <x v="21"/>
    <x v="21"/>
    <x v="21"/>
    <x v="21"/>
    <x v="19"/>
    <x v="21"/>
    <x v="21"/>
    <x v="21"/>
    <x v="21"/>
    <x v="21"/>
    <x v="21"/>
    <x v="21"/>
  </r>
  <r>
    <x v="22"/>
    <x v="20"/>
    <x v="22"/>
    <x v="22"/>
    <x v="22"/>
    <x v="22"/>
    <x v="22"/>
    <x v="22"/>
    <x v="20"/>
    <x v="20"/>
    <x v="22"/>
    <x v="22"/>
    <x v="22"/>
    <x v="22"/>
    <x v="20"/>
    <x v="22"/>
    <x v="22"/>
    <x v="22"/>
    <x v="22"/>
    <x v="22"/>
    <x v="22"/>
    <x v="22"/>
  </r>
  <r>
    <x v="23"/>
    <x v="21"/>
    <x v="23"/>
    <x v="23"/>
    <x v="23"/>
    <x v="23"/>
    <x v="23"/>
    <x v="23"/>
    <x v="21"/>
    <x v="21"/>
    <x v="23"/>
    <x v="23"/>
    <x v="23"/>
    <x v="23"/>
    <x v="21"/>
    <x v="23"/>
    <x v="23"/>
    <x v="23"/>
    <x v="23"/>
    <x v="23"/>
    <x v="23"/>
    <x v="23"/>
  </r>
  <r>
    <x v="24"/>
    <x v="22"/>
    <x v="24"/>
    <x v="24"/>
    <x v="24"/>
    <x v="24"/>
    <x v="24"/>
    <x v="24"/>
    <x v="22"/>
    <x v="22"/>
    <x v="24"/>
    <x v="24"/>
    <x v="24"/>
    <x v="24"/>
    <x v="22"/>
    <x v="24"/>
    <x v="24"/>
    <x v="24"/>
    <x v="24"/>
    <x v="24"/>
    <x v="24"/>
    <x v="24"/>
  </r>
  <r>
    <x v="25"/>
    <x v="23"/>
    <x v="25"/>
    <x v="25"/>
    <x v="25"/>
    <x v="25"/>
    <x v="25"/>
    <x v="25"/>
    <x v="23"/>
    <x v="23"/>
    <x v="25"/>
    <x v="25"/>
    <x v="25"/>
    <x v="25"/>
    <x v="23"/>
    <x v="25"/>
    <x v="25"/>
    <x v="25"/>
    <x v="25"/>
    <x v="25"/>
    <x v="25"/>
    <x v="25"/>
  </r>
  <r>
    <x v="26"/>
    <x v="24"/>
    <x v="26"/>
    <x v="26"/>
    <x v="26"/>
    <x v="26"/>
    <x v="26"/>
    <x v="26"/>
    <x v="24"/>
    <x v="24"/>
    <x v="26"/>
    <x v="26"/>
    <x v="26"/>
    <x v="26"/>
    <x v="24"/>
    <x v="26"/>
    <x v="26"/>
    <x v="26"/>
    <x v="26"/>
    <x v="26"/>
    <x v="26"/>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TABLES" cacheId="0" autoFormatId="1" applyNumberFormats="0" applyBorderFormats="0" applyFontFormats="0" applyPatternFormats="0" applyAlignmentFormats="0" applyWidthHeightFormats="1" dataCaption="" updatedVersion="5" compact="0" compactData="0" showDrill="1">
  <location ref="A2:B30" firstHeaderRow="1" firstDataRow="1" firstDataCol="1"/>
  <pivotFields count="22">
    <pivotField axis="axisRow" compact="0" outline="0" multipleItemSelectionAllowed="1"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dataField="1" compact="0" outline="0" multipleItemSelectionAllowed="1" numFmtId="4" showAll="0"/>
    <pivotField compact="0" outline="0" multipleItemSelectionAllowed="1" numFmtId="4"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4" showAll="0"/>
    <pivotField compact="0" outline="0" multipleItemSelectionAllowed="1" numFmtId="4"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2024" fld="6" baseField="0" baseItem="0"/>
  </dataFields>
  <pivotTableStyleInfo showRowHeaders="1" showColHeaders="1"/>
</pivotTableDefinition>
</file>

<file path=xl/pivotTables/pivotTable2.xml><?xml version="1.0" encoding="utf-8"?>
<pivotTableDefinition xmlns="http://schemas.openxmlformats.org/spreadsheetml/2006/main" name="PIVOT_TABLES 2" cacheId="0" autoFormatId="1" applyNumberFormats="0" applyBorderFormats="0" applyFontFormats="0" applyPatternFormats="0" applyAlignmentFormats="0" applyWidthHeightFormats="1" dataCaption="" updatedVersion="5" compact="0" compactData="0" showDrill="1">
  <location ref="A34:B62" firstHeaderRow="1" firstDataRow="1" firstDataCol="1"/>
  <pivotFields count="22">
    <pivotField axis="axisRow" compact="0" outline="0" multipleItemSelectionAllowed="1"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dataField="1" compact="0" outline="0" multipleItemSelectionAllowed="1" numFmtId="4"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4" showAll="0"/>
    <pivotField compact="0" outline="0" multipleItemSelectionAllowed="1" numFmtId="4"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6YR_Total" fld="7" baseField="0" baseItem="0"/>
  </dataFields>
  <pivotTableStyleInfo showRowHeaders="1" showColHeaders="1"/>
</pivotTableDefinition>
</file>

<file path=xl/pivotTables/pivotTable3.xml><?xml version="1.0" encoding="utf-8"?>
<pivotTableDefinition xmlns="http://schemas.openxmlformats.org/spreadsheetml/2006/main" name="PIVOT_TABLES 3" cacheId="0" autoFormatId="1" applyNumberFormats="0" applyBorderFormats="0" applyFontFormats="0" applyPatternFormats="0" applyAlignmentFormats="0" applyWidthHeightFormats="1" dataCaption="" updatedVersion="5" compact="0" compactData="0" showDrill="1">
  <location ref="A66:D95" firstHeaderRow="1" firstDataRow="2" firstDataCol="1"/>
  <pivotFields count="22">
    <pivotField axis="axisRow" compact="0" outline="0" multipleItemSelectionAllowed="1"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dataField="1" compact="0" outline="0" multipleItemSelectionAllowed="1" numFmtId="4" showAll="0"/>
    <pivotField dataField="1" compact="0" outline="0" multipleItemSelectionAllowed="1" numFmtId="4" showAll="0"/>
    <pivotField dataField="1"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4" showAll="0"/>
    <pivotField compact="0" outline="0" multipleItemSelectionAllowed="1" numFmtId="4"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3">
    <i>
      <x/>
    </i>
    <i i="1">
      <x v="1"/>
    </i>
    <i i="2">
      <x v="2"/>
    </i>
  </colItems>
  <dataFields count="3">
    <dataField name="SUM of 2019" fld="1" baseField="0" baseItem="0"/>
    <dataField name="SUM of 2020" fld="2" baseField="0" baseItem="0"/>
    <dataField name="SUM of 2021" fld="3" baseField="0" baseItem="0"/>
  </dataFields>
  <pivotTableStyleInfo showRowHeaders="1" showColHeaders="1"/>
</pivotTableDefinition>
</file>

<file path=xl/pivotTables/pivotTable4.xml><?xml version="1.0" encoding="utf-8"?>
<pivotTableDefinition xmlns="http://schemas.openxmlformats.org/spreadsheetml/2006/main" name="PIVOT_TABLES 4" cacheId="0" autoFormatId="1" applyNumberFormats="0" applyBorderFormats="0" applyFontFormats="0" applyPatternFormats="0" applyAlignmentFormats="0" applyWidthHeightFormats="1" dataCaption="" updatedVersion="5" compact="0" compactData="0" showDrill="1">
  <location ref="A98:B126" firstHeaderRow="1" firstDataRow="1" firstDataCol="1"/>
  <pivotFields count="22">
    <pivotField axis="axisRow" compact="0" outline="0" multipleItemSelectionAllowed="1" showAll="0">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numFmtId="4"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showAll="0"/>
    <pivotField compact="0" outline="0" multipleItemSelectionAllowed="1"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10" showAll="0"/>
    <pivotField compact="0" outline="0" multipleItemSelectionAllowed="1" numFmtId="4" showAll="0"/>
    <pivotField dataField="1" compact="0" outline="0" multipleItemSelectionAllowed="1" numFmtId="4" showAll="0"/>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Nonbank_Est_USD_Billions" fld="21" baseField="0" baseItem="0"/>
  </dataFields>
  <pivotTableStyleInfo showRowHeaders="1" showColHeaders="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7"/>
  <sheetViews>
    <sheetView workbookViewId="0">
      <selection activeCell="A1" sqref="A1:D1"/>
    </sheetView>
  </sheetViews>
  <sheetFormatPr defaultColWidth="12.6285714285714" defaultRowHeight="15.75" customHeight="1"/>
  <cols>
    <col min="1" max="1" width="27.5047619047619" customWidth="1"/>
    <col min="2" max="2" width="49.752380952381" customWidth="1"/>
    <col min="3" max="3" width="28.5047619047619" customWidth="1"/>
    <col min="4" max="4" width="40.247619047619" customWidth="1"/>
  </cols>
  <sheetData>
    <row r="1" ht="18" spans="1:26">
      <c r="A1" s="25" t="s">
        <v>0</v>
      </c>
      <c r="E1" s="34"/>
      <c r="F1" s="34"/>
      <c r="G1" s="34"/>
      <c r="H1" s="34"/>
      <c r="I1" s="34"/>
      <c r="J1" s="34"/>
      <c r="K1" s="34"/>
      <c r="L1" s="34"/>
      <c r="M1" s="34"/>
      <c r="N1" s="34"/>
      <c r="O1" s="34"/>
      <c r="P1" s="34"/>
      <c r="Q1" s="34"/>
      <c r="R1" s="34"/>
      <c r="S1" s="34"/>
      <c r="T1" s="34"/>
      <c r="U1" s="34"/>
      <c r="V1" s="34"/>
      <c r="W1" s="34"/>
      <c r="X1" s="34"/>
      <c r="Y1" s="34"/>
      <c r="Z1" s="34"/>
    </row>
    <row r="2" ht="12.75" spans="1:26">
      <c r="A2" s="35" t="s">
        <v>1</v>
      </c>
      <c r="E2" s="34"/>
      <c r="F2" s="34"/>
      <c r="G2" s="34"/>
      <c r="H2" s="34"/>
      <c r="I2" s="34"/>
      <c r="J2" s="34"/>
      <c r="K2" s="34"/>
      <c r="L2" s="34"/>
      <c r="M2" s="34"/>
      <c r="N2" s="34"/>
      <c r="O2" s="34"/>
      <c r="P2" s="34"/>
      <c r="Q2" s="34"/>
      <c r="R2" s="34"/>
      <c r="S2" s="34"/>
      <c r="T2" s="34"/>
      <c r="U2" s="34"/>
      <c r="V2" s="34"/>
      <c r="W2" s="34"/>
      <c r="X2" s="34"/>
      <c r="Y2" s="34"/>
      <c r="Z2" s="34"/>
    </row>
    <row r="3" ht="12.75" spans="1:26">
      <c r="A3" s="36" t="s">
        <v>2</v>
      </c>
      <c r="E3" s="34"/>
      <c r="F3" s="34"/>
      <c r="G3" s="34"/>
      <c r="H3" s="34"/>
      <c r="I3" s="34"/>
      <c r="J3" s="34"/>
      <c r="K3" s="34"/>
      <c r="L3" s="34"/>
      <c r="M3" s="34"/>
      <c r="N3" s="34"/>
      <c r="O3" s="34"/>
      <c r="P3" s="34"/>
      <c r="Q3" s="34"/>
      <c r="R3" s="34"/>
      <c r="S3" s="34"/>
      <c r="T3" s="34"/>
      <c r="U3" s="34"/>
      <c r="V3" s="34"/>
      <c r="W3" s="34"/>
      <c r="X3" s="34"/>
      <c r="Y3" s="34"/>
      <c r="Z3" s="34"/>
    </row>
    <row r="4" ht="12.75" spans="1:26">
      <c r="A4" s="34"/>
      <c r="B4" s="34"/>
      <c r="C4" s="34"/>
      <c r="D4" s="34"/>
      <c r="E4" s="34"/>
      <c r="F4" s="34"/>
      <c r="G4" s="34"/>
      <c r="H4" s="34"/>
      <c r="I4" s="34"/>
      <c r="J4" s="34"/>
      <c r="K4" s="34"/>
      <c r="L4" s="34"/>
      <c r="M4" s="34"/>
      <c r="N4" s="34"/>
      <c r="O4" s="34"/>
      <c r="P4" s="34"/>
      <c r="Q4" s="34"/>
      <c r="R4" s="34"/>
      <c r="S4" s="34"/>
      <c r="T4" s="34"/>
      <c r="U4" s="34"/>
      <c r="V4" s="34"/>
      <c r="W4" s="34"/>
      <c r="X4" s="34"/>
      <c r="Y4" s="34"/>
      <c r="Z4" s="34"/>
    </row>
    <row r="5" ht="15" spans="1:26">
      <c r="A5" s="37" t="s">
        <v>3</v>
      </c>
      <c r="B5" s="21"/>
      <c r="C5" s="21"/>
      <c r="D5" s="22"/>
      <c r="E5" s="34"/>
      <c r="F5" s="34"/>
      <c r="G5" s="34"/>
      <c r="H5" s="34"/>
      <c r="I5" s="34"/>
      <c r="J5" s="34"/>
      <c r="K5" s="34"/>
      <c r="L5" s="34"/>
      <c r="M5" s="34"/>
      <c r="N5" s="34"/>
      <c r="O5" s="34"/>
      <c r="P5" s="34"/>
      <c r="Q5" s="34"/>
      <c r="R5" s="34"/>
      <c r="S5" s="34"/>
      <c r="T5" s="34"/>
      <c r="U5" s="34"/>
      <c r="V5" s="34"/>
      <c r="W5" s="34"/>
      <c r="X5" s="34"/>
      <c r="Y5" s="34"/>
      <c r="Z5" s="34"/>
    </row>
    <row r="6" ht="12.75" spans="1:26">
      <c r="A6" s="38" t="s">
        <v>4</v>
      </c>
      <c r="B6" s="39" t="s">
        <v>5</v>
      </c>
      <c r="C6" s="21"/>
      <c r="D6" s="22"/>
      <c r="E6" s="34"/>
      <c r="F6" s="34"/>
      <c r="G6" s="34"/>
      <c r="H6" s="34"/>
      <c r="I6" s="34"/>
      <c r="J6" s="34"/>
      <c r="K6" s="34"/>
      <c r="L6" s="34"/>
      <c r="M6" s="34"/>
      <c r="N6" s="34"/>
      <c r="O6" s="34"/>
      <c r="P6" s="34"/>
      <c r="Q6" s="34"/>
      <c r="R6" s="34"/>
      <c r="S6" s="34"/>
      <c r="T6" s="34"/>
      <c r="U6" s="34"/>
      <c r="V6" s="34"/>
      <c r="W6" s="34"/>
      <c r="X6" s="34"/>
      <c r="Y6" s="34"/>
      <c r="Z6" s="34"/>
    </row>
    <row r="7" ht="12.75" spans="1:26">
      <c r="A7" s="38" t="s">
        <v>6</v>
      </c>
      <c r="B7" s="39" t="s">
        <v>7</v>
      </c>
      <c r="C7" s="21"/>
      <c r="D7" s="22"/>
      <c r="E7" s="34"/>
      <c r="F7" s="34"/>
      <c r="G7" s="34"/>
      <c r="H7" s="34"/>
      <c r="I7" s="34"/>
      <c r="J7" s="34"/>
      <c r="K7" s="34"/>
      <c r="L7" s="34"/>
      <c r="M7" s="34"/>
      <c r="N7" s="34"/>
      <c r="O7" s="34"/>
      <c r="P7" s="34"/>
      <c r="Q7" s="34"/>
      <c r="R7" s="34"/>
      <c r="S7" s="34"/>
      <c r="T7" s="34"/>
      <c r="U7" s="34"/>
      <c r="V7" s="34"/>
      <c r="W7" s="34"/>
      <c r="X7" s="34"/>
      <c r="Y7" s="34"/>
      <c r="Z7" s="34"/>
    </row>
    <row r="8" ht="12.75" spans="1:26">
      <c r="A8" s="38" t="s">
        <v>8</v>
      </c>
      <c r="B8" s="39" t="s">
        <v>9</v>
      </c>
      <c r="C8" s="21"/>
      <c r="D8" s="22"/>
      <c r="E8" s="34"/>
      <c r="F8" s="34"/>
      <c r="G8" s="34"/>
      <c r="H8" s="34"/>
      <c r="I8" s="34"/>
      <c r="J8" s="34"/>
      <c r="K8" s="34"/>
      <c r="L8" s="34"/>
      <c r="M8" s="34"/>
      <c r="N8" s="34"/>
      <c r="O8" s="34"/>
      <c r="P8" s="34"/>
      <c r="Q8" s="34"/>
      <c r="R8" s="34"/>
      <c r="S8" s="34"/>
      <c r="T8" s="34"/>
      <c r="U8" s="34"/>
      <c r="V8" s="34"/>
      <c r="W8" s="34"/>
      <c r="X8" s="34"/>
      <c r="Y8" s="34"/>
      <c r="Z8" s="34"/>
    </row>
    <row r="9" ht="12.75" spans="1:26">
      <c r="A9" s="34"/>
      <c r="B9" s="34"/>
      <c r="C9" s="34"/>
      <c r="D9" s="34"/>
      <c r="E9" s="34"/>
      <c r="F9" s="34"/>
      <c r="G9" s="34"/>
      <c r="H9" s="34"/>
      <c r="I9" s="34"/>
      <c r="J9" s="34"/>
      <c r="K9" s="34"/>
      <c r="L9" s="34"/>
      <c r="M9" s="34"/>
      <c r="N9" s="34"/>
      <c r="O9" s="34"/>
      <c r="P9" s="34"/>
      <c r="Q9" s="34"/>
      <c r="R9" s="34"/>
      <c r="S9" s="34"/>
      <c r="T9" s="34"/>
      <c r="U9" s="34"/>
      <c r="V9" s="34"/>
      <c r="W9" s="34"/>
      <c r="X9" s="34"/>
      <c r="Y9" s="34"/>
      <c r="Z9" s="34"/>
    </row>
    <row r="10" ht="15" spans="1:26">
      <c r="A10" s="40" t="s">
        <v>10</v>
      </c>
      <c r="B10" s="21"/>
      <c r="C10" s="21"/>
      <c r="D10" s="22"/>
      <c r="E10" s="34"/>
      <c r="F10" s="34"/>
      <c r="G10" s="34"/>
      <c r="H10" s="34"/>
      <c r="I10" s="34"/>
      <c r="J10" s="34"/>
      <c r="K10" s="34"/>
      <c r="L10" s="34"/>
      <c r="M10" s="34"/>
      <c r="N10" s="34"/>
      <c r="O10" s="34"/>
      <c r="P10" s="34"/>
      <c r="Q10" s="34"/>
      <c r="R10" s="34"/>
      <c r="S10" s="34"/>
      <c r="T10" s="34"/>
      <c r="U10" s="34"/>
      <c r="V10" s="34"/>
      <c r="W10" s="34"/>
      <c r="X10" s="34"/>
      <c r="Y10" s="34"/>
      <c r="Z10" s="34"/>
    </row>
    <row r="11" ht="12.75" spans="1:26">
      <c r="A11" s="38" t="s">
        <v>11</v>
      </c>
      <c r="B11" s="39" t="s">
        <v>12</v>
      </c>
      <c r="C11" s="21"/>
      <c r="D11" s="22"/>
      <c r="E11" s="34"/>
      <c r="F11" s="34"/>
      <c r="G11" s="34"/>
      <c r="H11" s="34"/>
      <c r="I11" s="34"/>
      <c r="J11" s="34"/>
      <c r="K11" s="34"/>
      <c r="L11" s="34"/>
      <c r="M11" s="34"/>
      <c r="N11" s="34"/>
      <c r="O11" s="34"/>
      <c r="P11" s="34"/>
      <c r="Q11" s="34"/>
      <c r="R11" s="34"/>
      <c r="S11" s="34"/>
      <c r="T11" s="34"/>
      <c r="U11" s="34"/>
      <c r="V11" s="34"/>
      <c r="W11" s="34"/>
      <c r="X11" s="34"/>
      <c r="Y11" s="34"/>
      <c r="Z11" s="34"/>
    </row>
    <row r="12" ht="12.75" spans="1:26">
      <c r="A12" s="27" t="s">
        <v>13</v>
      </c>
      <c r="B12" s="27" t="s">
        <v>14</v>
      </c>
      <c r="C12" s="27" t="s">
        <v>15</v>
      </c>
      <c r="D12" s="27" t="s">
        <v>16</v>
      </c>
      <c r="E12" s="34"/>
      <c r="F12" s="34"/>
      <c r="G12" s="34"/>
      <c r="H12" s="34"/>
      <c r="I12" s="34"/>
      <c r="J12" s="34"/>
      <c r="K12" s="34"/>
      <c r="L12" s="34"/>
      <c r="M12" s="34"/>
      <c r="N12" s="34"/>
      <c r="O12" s="34"/>
      <c r="P12" s="34"/>
      <c r="Q12" s="34"/>
      <c r="R12" s="34"/>
      <c r="S12" s="34"/>
      <c r="T12" s="34"/>
      <c r="U12" s="34"/>
      <c r="V12" s="34"/>
      <c r="W12" s="34"/>
      <c r="X12" s="34"/>
      <c r="Y12" s="34"/>
      <c r="Z12" s="34"/>
    </row>
    <row r="13" ht="12.75" spans="1:26">
      <c r="A13" s="41">
        <v>1</v>
      </c>
      <c r="B13" s="42" t="s">
        <v>17</v>
      </c>
      <c r="C13" s="43">
        <v>14013899</v>
      </c>
      <c r="D13" s="43">
        <v>77111110</v>
      </c>
      <c r="E13" s="34"/>
      <c r="F13" s="34"/>
      <c r="G13" s="34"/>
      <c r="H13" s="34"/>
      <c r="I13" s="34"/>
      <c r="J13" s="34"/>
      <c r="K13" s="34"/>
      <c r="L13" s="34"/>
      <c r="M13" s="34"/>
      <c r="N13" s="34"/>
      <c r="O13" s="34"/>
      <c r="P13" s="34"/>
      <c r="Q13" s="34"/>
      <c r="R13" s="34"/>
      <c r="S13" s="34"/>
      <c r="T13" s="34"/>
      <c r="U13" s="34"/>
      <c r="V13" s="34"/>
      <c r="W13" s="34"/>
      <c r="X13" s="34"/>
      <c r="Y13" s="34"/>
      <c r="Z13" s="34"/>
    </row>
    <row r="14" ht="12.75" spans="1:26">
      <c r="A14" s="41">
        <v>2</v>
      </c>
      <c r="B14" s="44" t="s">
        <v>18</v>
      </c>
      <c r="C14" s="43">
        <v>2481459</v>
      </c>
      <c r="D14" s="43">
        <v>13392001</v>
      </c>
      <c r="E14" s="34"/>
      <c r="F14" s="34"/>
      <c r="G14" s="34"/>
      <c r="H14" s="34"/>
      <c r="I14" s="34"/>
      <c r="J14" s="34"/>
      <c r="K14" s="34"/>
      <c r="L14" s="34"/>
      <c r="M14" s="34"/>
      <c r="N14" s="34"/>
      <c r="O14" s="34"/>
      <c r="P14" s="34"/>
      <c r="Q14" s="34"/>
      <c r="R14" s="34"/>
      <c r="S14" s="34"/>
      <c r="T14" s="34"/>
      <c r="U14" s="34"/>
      <c r="V14" s="34"/>
      <c r="W14" s="34"/>
      <c r="X14" s="34"/>
      <c r="Y14" s="34"/>
      <c r="Z14" s="34"/>
    </row>
    <row r="15" ht="12.75" spans="1:26">
      <c r="A15" s="41">
        <v>3</v>
      </c>
      <c r="B15" s="44" t="s">
        <v>19</v>
      </c>
      <c r="C15" s="43">
        <v>2219250</v>
      </c>
      <c r="D15" s="43">
        <v>11969598</v>
      </c>
      <c r="E15" s="34"/>
      <c r="F15" s="34"/>
      <c r="G15" s="34"/>
      <c r="H15" s="34"/>
      <c r="I15" s="34"/>
      <c r="J15" s="34"/>
      <c r="K15" s="34"/>
      <c r="L15" s="34"/>
      <c r="M15" s="34"/>
      <c r="N15" s="34"/>
      <c r="O15" s="34"/>
      <c r="P15" s="34"/>
      <c r="Q15" s="34"/>
      <c r="R15" s="34"/>
      <c r="S15" s="34"/>
      <c r="T15" s="34"/>
      <c r="U15" s="34"/>
      <c r="V15" s="34"/>
      <c r="W15" s="34"/>
      <c r="X15" s="34"/>
      <c r="Y15" s="34"/>
      <c r="Z15" s="34"/>
    </row>
    <row r="16" ht="12.75" spans="1:26">
      <c r="A16" s="41">
        <v>4</v>
      </c>
      <c r="B16" s="44" t="s">
        <v>20</v>
      </c>
      <c r="C16" s="43">
        <v>1706720</v>
      </c>
      <c r="D16" s="43">
        <v>10019523</v>
      </c>
      <c r="E16" s="34"/>
      <c r="F16" s="34"/>
      <c r="G16" s="34"/>
      <c r="H16" s="34"/>
      <c r="I16" s="34"/>
      <c r="J16" s="34"/>
      <c r="K16" s="34"/>
      <c r="L16" s="34"/>
      <c r="M16" s="34"/>
      <c r="N16" s="34"/>
      <c r="O16" s="34"/>
      <c r="P16" s="34"/>
      <c r="Q16" s="34"/>
      <c r="R16" s="34"/>
      <c r="S16" s="34"/>
      <c r="T16" s="34"/>
      <c r="U16" s="34"/>
      <c r="V16" s="34"/>
      <c r="W16" s="34"/>
      <c r="X16" s="34"/>
      <c r="Y16" s="34"/>
      <c r="Z16" s="34"/>
    </row>
    <row r="17" ht="12.75" spans="1:26">
      <c r="A17" s="41">
        <v>5</v>
      </c>
      <c r="B17" s="44" t="s">
        <v>21</v>
      </c>
      <c r="C17" s="43">
        <v>1622046</v>
      </c>
      <c r="D17" s="43">
        <v>9154893</v>
      </c>
      <c r="E17" s="34"/>
      <c r="F17" s="34"/>
      <c r="G17" s="34"/>
      <c r="H17" s="34"/>
      <c r="I17" s="34"/>
      <c r="J17" s="34"/>
      <c r="K17" s="34"/>
      <c r="L17" s="34"/>
      <c r="M17" s="34"/>
      <c r="N17" s="34"/>
      <c r="O17" s="34"/>
      <c r="P17" s="34"/>
      <c r="Q17" s="34"/>
      <c r="R17" s="34"/>
      <c r="S17" s="34"/>
      <c r="T17" s="34"/>
      <c r="U17" s="34"/>
      <c r="V17" s="34"/>
      <c r="W17" s="34"/>
      <c r="X17" s="34"/>
      <c r="Y17" s="34"/>
      <c r="Z17" s="34"/>
    </row>
    <row r="18" ht="12.75" spans="1:26">
      <c r="A18" s="34"/>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5" spans="1:26">
      <c r="A19" s="40" t="s">
        <v>22</v>
      </c>
      <c r="B19" s="21"/>
      <c r="C19" s="21"/>
      <c r="D19" s="22"/>
      <c r="E19" s="34"/>
      <c r="F19" s="34"/>
      <c r="G19" s="34"/>
      <c r="H19" s="34"/>
      <c r="I19" s="34"/>
      <c r="J19" s="34"/>
      <c r="K19" s="34"/>
      <c r="L19" s="34"/>
      <c r="M19" s="34"/>
      <c r="N19" s="34"/>
      <c r="O19" s="34"/>
      <c r="P19" s="34"/>
      <c r="Q19" s="34"/>
      <c r="R19" s="34"/>
      <c r="S19" s="34"/>
      <c r="T19" s="34"/>
      <c r="U19" s="34"/>
      <c r="V19" s="34"/>
      <c r="W19" s="34"/>
      <c r="X19" s="34"/>
      <c r="Y19" s="34"/>
      <c r="Z19" s="34"/>
    </row>
    <row r="20" ht="12.75" spans="1:26">
      <c r="A20" s="38" t="s">
        <v>11</v>
      </c>
      <c r="B20" s="39" t="s">
        <v>23</v>
      </c>
      <c r="C20" s="21"/>
      <c r="D20" s="22"/>
      <c r="E20" s="34"/>
      <c r="F20" s="34"/>
      <c r="G20" s="34"/>
      <c r="H20" s="34"/>
      <c r="I20" s="34"/>
      <c r="J20" s="34"/>
      <c r="K20" s="34"/>
      <c r="L20" s="34"/>
      <c r="M20" s="34"/>
      <c r="N20" s="34"/>
      <c r="O20" s="34"/>
      <c r="P20" s="34"/>
      <c r="Q20" s="34"/>
      <c r="R20" s="34"/>
      <c r="S20" s="34"/>
      <c r="T20" s="34"/>
      <c r="U20" s="34"/>
      <c r="V20" s="34"/>
      <c r="W20" s="34"/>
      <c r="X20" s="34"/>
      <c r="Y20" s="34"/>
      <c r="Z20" s="34"/>
    </row>
    <row r="21" ht="12.75" spans="1:26">
      <c r="A21" s="38" t="s">
        <v>24</v>
      </c>
      <c r="B21" s="39" t="s">
        <v>25</v>
      </c>
      <c r="C21" s="21"/>
      <c r="D21" s="22"/>
      <c r="E21" s="34"/>
      <c r="F21" s="34"/>
      <c r="G21" s="34"/>
      <c r="H21" s="34"/>
      <c r="I21" s="34"/>
      <c r="J21" s="34"/>
      <c r="K21" s="34"/>
      <c r="L21" s="34"/>
      <c r="M21" s="34"/>
      <c r="N21" s="34"/>
      <c r="O21" s="34"/>
      <c r="P21" s="34"/>
      <c r="Q21" s="34"/>
      <c r="R21" s="34"/>
      <c r="S21" s="34"/>
      <c r="T21" s="34"/>
      <c r="U21" s="34"/>
      <c r="V21" s="34"/>
      <c r="W21" s="34"/>
      <c r="X21" s="34"/>
      <c r="Y21" s="34"/>
      <c r="Z21" s="34"/>
    </row>
    <row r="22" ht="12.75" spans="1:26">
      <c r="A22" s="34"/>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ht="15" spans="1:26">
      <c r="A23" s="37" t="s">
        <v>26</v>
      </c>
      <c r="B23" s="21"/>
      <c r="C23" s="21"/>
      <c r="D23" s="22"/>
      <c r="E23" s="34"/>
      <c r="F23" s="34"/>
      <c r="G23" s="34"/>
      <c r="H23" s="34"/>
      <c r="I23" s="34"/>
      <c r="J23" s="34"/>
      <c r="K23" s="34"/>
      <c r="L23" s="34"/>
      <c r="M23" s="34"/>
      <c r="N23" s="34"/>
      <c r="O23" s="34"/>
      <c r="P23" s="34"/>
      <c r="Q23" s="34"/>
      <c r="R23" s="34"/>
      <c r="S23" s="34"/>
      <c r="T23" s="34"/>
      <c r="U23" s="34"/>
      <c r="V23" s="34"/>
      <c r="W23" s="34"/>
      <c r="X23" s="34"/>
      <c r="Y23" s="34"/>
      <c r="Z23" s="34"/>
    </row>
    <row r="24" ht="12.75" spans="1:26">
      <c r="A24" s="45" t="s">
        <v>11</v>
      </c>
      <c r="B24" s="39" t="s">
        <v>27</v>
      </c>
      <c r="C24" s="21"/>
      <c r="D24" s="22"/>
      <c r="E24" s="34"/>
      <c r="F24" s="34"/>
      <c r="G24" s="34"/>
      <c r="H24" s="34"/>
      <c r="I24" s="34"/>
      <c r="J24" s="34"/>
      <c r="K24" s="34"/>
      <c r="L24" s="34"/>
      <c r="M24" s="34"/>
      <c r="N24" s="34"/>
      <c r="O24" s="34"/>
      <c r="P24" s="34"/>
      <c r="Q24" s="34"/>
      <c r="R24" s="34"/>
      <c r="S24" s="34"/>
      <c r="T24" s="34"/>
      <c r="U24" s="34"/>
      <c r="V24" s="34"/>
      <c r="W24" s="34"/>
      <c r="X24" s="34"/>
      <c r="Y24" s="34"/>
      <c r="Z24" s="34"/>
    </row>
    <row r="25" ht="12.75" spans="1:26">
      <c r="A25" s="27" t="s">
        <v>14</v>
      </c>
      <c r="B25" s="27" t="s">
        <v>28</v>
      </c>
      <c r="C25" s="27" t="s">
        <v>29</v>
      </c>
      <c r="D25" s="27" t="s">
        <v>30</v>
      </c>
      <c r="E25" s="34"/>
      <c r="F25" s="34"/>
      <c r="G25" s="34"/>
      <c r="H25" s="34"/>
      <c r="I25" s="34"/>
      <c r="J25" s="34"/>
      <c r="K25" s="34"/>
      <c r="L25" s="34"/>
      <c r="M25" s="34"/>
      <c r="N25" s="34"/>
      <c r="O25" s="34"/>
      <c r="P25" s="34"/>
      <c r="Q25" s="34"/>
      <c r="R25" s="34"/>
      <c r="S25" s="34"/>
      <c r="T25" s="34"/>
      <c r="U25" s="34"/>
      <c r="V25" s="34"/>
      <c r="W25" s="34"/>
      <c r="X25" s="34"/>
      <c r="Y25" s="34"/>
      <c r="Z25" s="34"/>
    </row>
    <row r="26" ht="12.75" spans="1:26">
      <c r="A26" s="44" t="s">
        <v>31</v>
      </c>
      <c r="B26" s="46" t="s">
        <v>32</v>
      </c>
      <c r="C26" s="43">
        <v>196902</v>
      </c>
      <c r="D26" s="43">
        <v>394866</v>
      </c>
      <c r="E26" s="34"/>
      <c r="F26" s="34"/>
      <c r="G26" s="34"/>
      <c r="H26" s="34"/>
      <c r="I26" s="34"/>
      <c r="J26" s="34"/>
      <c r="K26" s="34"/>
      <c r="L26" s="34"/>
      <c r="M26" s="34"/>
      <c r="N26" s="34"/>
      <c r="O26" s="34"/>
      <c r="P26" s="34"/>
      <c r="Q26" s="34"/>
      <c r="R26" s="34"/>
      <c r="S26" s="34"/>
      <c r="T26" s="34"/>
      <c r="U26" s="34"/>
      <c r="V26" s="34"/>
      <c r="W26" s="34"/>
      <c r="X26" s="34"/>
      <c r="Y26" s="34"/>
      <c r="Z26" s="34"/>
    </row>
    <row r="27" ht="12.75" spans="1:26">
      <c r="A27" s="44" t="s">
        <v>33</v>
      </c>
      <c r="B27" s="46" t="s">
        <v>34</v>
      </c>
      <c r="C27" s="43">
        <v>152742</v>
      </c>
      <c r="D27" s="43">
        <v>302922</v>
      </c>
      <c r="E27" s="34"/>
      <c r="F27" s="34"/>
      <c r="G27" s="34"/>
      <c r="H27" s="34"/>
      <c r="I27" s="34"/>
      <c r="J27" s="34"/>
      <c r="K27" s="34"/>
      <c r="L27" s="34"/>
      <c r="M27" s="34"/>
      <c r="N27" s="34"/>
      <c r="O27" s="34"/>
      <c r="P27" s="34"/>
      <c r="Q27" s="34"/>
      <c r="R27" s="34"/>
      <c r="S27" s="34"/>
      <c r="T27" s="34"/>
      <c r="U27" s="34"/>
      <c r="V27" s="34"/>
      <c r="W27" s="34"/>
      <c r="X27" s="34"/>
      <c r="Y27" s="34"/>
      <c r="Z27" s="34"/>
    </row>
    <row r="28" ht="12.75" spans="1:26">
      <c r="A28" s="44" t="s">
        <v>35</v>
      </c>
      <c r="B28" s="46" t="s">
        <v>36</v>
      </c>
      <c r="C28" s="43">
        <v>177098</v>
      </c>
      <c r="D28" s="43">
        <v>339737</v>
      </c>
      <c r="E28" s="34"/>
      <c r="F28" s="34"/>
      <c r="G28" s="34"/>
      <c r="H28" s="34"/>
      <c r="I28" s="34"/>
      <c r="J28" s="34"/>
      <c r="K28" s="34"/>
      <c r="L28" s="34"/>
      <c r="M28" s="34"/>
      <c r="N28" s="34"/>
      <c r="O28" s="34"/>
      <c r="P28" s="34"/>
      <c r="Q28" s="34"/>
      <c r="R28" s="34"/>
      <c r="S28" s="34"/>
      <c r="T28" s="34"/>
      <c r="U28" s="34"/>
      <c r="V28" s="34"/>
      <c r="W28" s="34"/>
      <c r="X28" s="34"/>
      <c r="Y28" s="34"/>
      <c r="Z28" s="34"/>
    </row>
    <row r="29" ht="12.75" spans="1:26">
      <c r="A29" s="44" t="s">
        <v>37</v>
      </c>
      <c r="B29" s="46" t="s">
        <v>38</v>
      </c>
      <c r="C29" s="43">
        <v>597628</v>
      </c>
      <c r="D29" s="43">
        <v>948248</v>
      </c>
      <c r="E29" s="34"/>
      <c r="F29" s="34"/>
      <c r="G29" s="34"/>
      <c r="H29" s="34"/>
      <c r="I29" s="34"/>
      <c r="J29" s="34"/>
      <c r="K29" s="34"/>
      <c r="L29" s="34"/>
      <c r="M29" s="34"/>
      <c r="N29" s="34"/>
      <c r="O29" s="34"/>
      <c r="P29" s="34"/>
      <c r="Q29" s="34"/>
      <c r="R29" s="34"/>
      <c r="S29" s="34"/>
      <c r="T29" s="34"/>
      <c r="U29" s="34"/>
      <c r="V29" s="34"/>
      <c r="W29" s="34"/>
      <c r="X29" s="34"/>
      <c r="Y29" s="34"/>
      <c r="Z29" s="34"/>
    </row>
    <row r="30" ht="12.75" spans="1:26">
      <c r="A30" s="44" t="s">
        <v>39</v>
      </c>
      <c r="B30" s="46" t="s">
        <v>40</v>
      </c>
      <c r="C30" s="43">
        <v>466775</v>
      </c>
      <c r="D30" s="43">
        <v>661182</v>
      </c>
      <c r="E30" s="34"/>
      <c r="F30" s="34"/>
      <c r="G30" s="34"/>
      <c r="H30" s="34"/>
      <c r="I30" s="34"/>
      <c r="J30" s="34"/>
      <c r="K30" s="34"/>
      <c r="L30" s="34"/>
      <c r="M30" s="34"/>
      <c r="N30" s="34"/>
      <c r="O30" s="34"/>
      <c r="P30" s="34"/>
      <c r="Q30" s="34"/>
      <c r="R30" s="34"/>
      <c r="S30" s="34"/>
      <c r="T30" s="34"/>
      <c r="U30" s="34"/>
      <c r="V30" s="34"/>
      <c r="W30" s="34"/>
      <c r="X30" s="34"/>
      <c r="Y30" s="34"/>
      <c r="Z30" s="34"/>
    </row>
    <row r="31" ht="12.75" spans="1:26">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 spans="1:26">
      <c r="A32" s="37" t="s">
        <v>41</v>
      </c>
      <c r="B32" s="21"/>
      <c r="C32" s="21"/>
      <c r="D32" s="22"/>
      <c r="E32" s="34"/>
      <c r="F32" s="34"/>
      <c r="G32" s="34"/>
      <c r="H32" s="34"/>
      <c r="I32" s="34"/>
      <c r="J32" s="34"/>
      <c r="K32" s="34"/>
      <c r="L32" s="34"/>
      <c r="M32" s="34"/>
      <c r="N32" s="34"/>
      <c r="O32" s="34"/>
      <c r="P32" s="34"/>
      <c r="Q32" s="34"/>
      <c r="R32" s="34"/>
      <c r="S32" s="34"/>
      <c r="T32" s="34"/>
      <c r="U32" s="34"/>
      <c r="V32" s="34"/>
      <c r="W32" s="34"/>
      <c r="X32" s="34"/>
      <c r="Y32" s="34"/>
      <c r="Z32" s="34"/>
    </row>
    <row r="33" ht="12.75" spans="1:26">
      <c r="A33" s="45" t="s">
        <v>11</v>
      </c>
      <c r="B33" s="39" t="s">
        <v>42</v>
      </c>
      <c r="C33" s="21"/>
      <c r="D33" s="22"/>
      <c r="E33" s="34"/>
      <c r="F33" s="34"/>
      <c r="G33" s="34"/>
      <c r="H33" s="34"/>
      <c r="I33" s="34"/>
      <c r="J33" s="34"/>
      <c r="K33" s="34"/>
      <c r="L33" s="34"/>
      <c r="M33" s="34"/>
      <c r="N33" s="34"/>
      <c r="O33" s="34"/>
      <c r="P33" s="34"/>
      <c r="Q33" s="34"/>
      <c r="R33" s="34"/>
      <c r="S33" s="34"/>
      <c r="T33" s="34"/>
      <c r="U33" s="34"/>
      <c r="V33" s="34"/>
      <c r="W33" s="34"/>
      <c r="X33" s="34"/>
      <c r="Y33" s="34"/>
      <c r="Z33" s="34"/>
    </row>
    <row r="34" ht="12.75" spans="1:26">
      <c r="A34" s="27" t="s">
        <v>13</v>
      </c>
      <c r="B34" s="27" t="s">
        <v>14</v>
      </c>
      <c r="C34" s="27" t="s">
        <v>43</v>
      </c>
      <c r="D34" s="27" t="s">
        <v>44</v>
      </c>
      <c r="E34" s="34"/>
      <c r="F34" s="34"/>
      <c r="G34" s="34"/>
      <c r="H34" s="34"/>
      <c r="I34" s="34"/>
      <c r="J34" s="34"/>
      <c r="K34" s="34"/>
      <c r="L34" s="34"/>
      <c r="M34" s="34"/>
      <c r="N34" s="34"/>
      <c r="O34" s="34"/>
      <c r="P34" s="34"/>
      <c r="Q34" s="34"/>
      <c r="R34" s="34"/>
      <c r="S34" s="34"/>
      <c r="T34" s="34"/>
      <c r="U34" s="34"/>
      <c r="V34" s="34"/>
      <c r="W34" s="34"/>
      <c r="X34" s="34"/>
      <c r="Y34" s="34"/>
      <c r="Z34" s="34"/>
    </row>
    <row r="35" ht="12.75" spans="1:26">
      <c r="A35" s="41">
        <v>1</v>
      </c>
      <c r="B35" s="42" t="s">
        <v>17</v>
      </c>
      <c r="C35" s="47">
        <v>5.47</v>
      </c>
      <c r="D35" s="48">
        <v>0.419</v>
      </c>
      <c r="E35" s="34"/>
      <c r="F35" s="34"/>
      <c r="G35" s="34"/>
      <c r="H35" s="34"/>
      <c r="I35" s="34"/>
      <c r="J35" s="34"/>
      <c r="K35" s="34"/>
      <c r="L35" s="34"/>
      <c r="M35" s="34"/>
      <c r="N35" s="34"/>
      <c r="O35" s="34"/>
      <c r="P35" s="34"/>
      <c r="Q35" s="34"/>
      <c r="R35" s="34"/>
      <c r="S35" s="34"/>
      <c r="T35" s="34"/>
      <c r="U35" s="34"/>
      <c r="V35" s="34"/>
      <c r="W35" s="34"/>
      <c r="X35" s="34"/>
      <c r="Y35" s="34"/>
      <c r="Z35" s="34"/>
    </row>
    <row r="36" ht="12.75" spans="1:26">
      <c r="A36" s="41">
        <v>2</v>
      </c>
      <c r="B36" s="44" t="s">
        <v>18</v>
      </c>
      <c r="C36" s="47">
        <v>0.97</v>
      </c>
      <c r="D36" s="48">
        <v>0.074</v>
      </c>
      <c r="E36" s="34"/>
      <c r="F36" s="34"/>
      <c r="G36" s="34"/>
      <c r="H36" s="34"/>
      <c r="I36" s="34"/>
      <c r="J36" s="34"/>
      <c r="K36" s="34"/>
      <c r="L36" s="34"/>
      <c r="M36" s="34"/>
      <c r="N36" s="34"/>
      <c r="O36" s="34"/>
      <c r="P36" s="34"/>
      <c r="Q36" s="34"/>
      <c r="R36" s="34"/>
      <c r="S36" s="34"/>
      <c r="T36" s="34"/>
      <c r="U36" s="34"/>
      <c r="V36" s="34"/>
      <c r="W36" s="34"/>
      <c r="X36" s="34"/>
      <c r="Y36" s="34"/>
      <c r="Z36" s="34"/>
    </row>
    <row r="37" ht="12.75" spans="1:26">
      <c r="A37" s="41">
        <v>3</v>
      </c>
      <c r="B37" s="44" t="s">
        <v>19</v>
      </c>
      <c r="C37" s="47">
        <v>0.87</v>
      </c>
      <c r="D37" s="48">
        <v>0.066</v>
      </c>
      <c r="E37" s="34"/>
      <c r="F37" s="34"/>
      <c r="G37" s="34"/>
      <c r="H37" s="34"/>
      <c r="I37" s="34"/>
      <c r="J37" s="34"/>
      <c r="K37" s="34"/>
      <c r="L37" s="34"/>
      <c r="M37" s="34"/>
      <c r="N37" s="34"/>
      <c r="O37" s="34"/>
      <c r="P37" s="34"/>
      <c r="Q37" s="34"/>
      <c r="R37" s="34"/>
      <c r="S37" s="34"/>
      <c r="T37" s="34"/>
      <c r="U37" s="34"/>
      <c r="V37" s="34"/>
      <c r="W37" s="34"/>
      <c r="X37" s="34"/>
      <c r="Y37" s="34"/>
      <c r="Z37" s="34"/>
    </row>
    <row r="38" ht="12.75" spans="1:26">
      <c r="A38" s="41">
        <v>4</v>
      </c>
      <c r="B38" s="44" t="s">
        <v>20</v>
      </c>
      <c r="C38" s="47">
        <v>0.67</v>
      </c>
      <c r="D38" s="48">
        <v>0.051</v>
      </c>
      <c r="E38" s="34"/>
      <c r="F38" s="34"/>
      <c r="G38" s="34"/>
      <c r="H38" s="34"/>
      <c r="I38" s="34"/>
      <c r="J38" s="34"/>
      <c r="K38" s="34"/>
      <c r="L38" s="34"/>
      <c r="M38" s="34"/>
      <c r="N38" s="34"/>
      <c r="O38" s="34"/>
      <c r="P38" s="34"/>
      <c r="Q38" s="34"/>
      <c r="R38" s="34"/>
      <c r="S38" s="34"/>
      <c r="T38" s="34"/>
      <c r="U38" s="34"/>
      <c r="V38" s="34"/>
      <c r="W38" s="34"/>
      <c r="X38" s="34"/>
      <c r="Y38" s="34"/>
      <c r="Z38" s="34"/>
    </row>
    <row r="39" ht="12.75" spans="1:26">
      <c r="A39" s="41">
        <v>5</v>
      </c>
      <c r="B39" s="44" t="s">
        <v>21</v>
      </c>
      <c r="C39" s="47">
        <v>0.63</v>
      </c>
      <c r="D39" s="48">
        <v>0.049</v>
      </c>
      <c r="E39" s="34"/>
      <c r="F39" s="34"/>
      <c r="G39" s="34"/>
      <c r="H39" s="34"/>
      <c r="I39" s="34"/>
      <c r="J39" s="34"/>
      <c r="K39" s="34"/>
      <c r="L39" s="34"/>
      <c r="M39" s="34"/>
      <c r="N39" s="34"/>
      <c r="O39" s="34"/>
      <c r="P39" s="34"/>
      <c r="Q39" s="34"/>
      <c r="R39" s="34"/>
      <c r="S39" s="34"/>
      <c r="T39" s="34"/>
      <c r="U39" s="34"/>
      <c r="V39" s="34"/>
      <c r="W39" s="34"/>
      <c r="X39" s="34"/>
      <c r="Y39" s="34"/>
      <c r="Z39" s="34"/>
    </row>
    <row r="40" ht="12.75" spans="1:26">
      <c r="A40" s="27" t="s">
        <v>45</v>
      </c>
      <c r="B40" s="49"/>
      <c r="C40" s="50">
        <v>13.04</v>
      </c>
      <c r="D40" s="51">
        <v>1</v>
      </c>
      <c r="E40" s="34"/>
      <c r="F40" s="34"/>
      <c r="G40" s="34"/>
      <c r="H40" s="34"/>
      <c r="I40" s="34"/>
      <c r="J40" s="34"/>
      <c r="K40" s="34"/>
      <c r="L40" s="34"/>
      <c r="M40" s="34"/>
      <c r="N40" s="34"/>
      <c r="O40" s="34"/>
      <c r="P40" s="34"/>
      <c r="Q40" s="34"/>
      <c r="R40" s="34"/>
      <c r="S40" s="34"/>
      <c r="T40" s="34"/>
      <c r="U40" s="34"/>
      <c r="V40" s="34"/>
      <c r="W40" s="34"/>
      <c r="X40" s="34"/>
      <c r="Y40" s="34"/>
      <c r="Z40" s="34"/>
    </row>
    <row r="41" ht="39.75" customHeight="1" spans="1:26">
      <c r="A41" s="52" t="s">
        <v>46</v>
      </c>
      <c r="B41" s="21"/>
      <c r="C41" s="21"/>
      <c r="D41" s="22"/>
      <c r="E41" s="34"/>
      <c r="F41" s="34"/>
      <c r="G41" s="34"/>
      <c r="H41" s="34"/>
      <c r="I41" s="34"/>
      <c r="J41" s="34"/>
      <c r="K41" s="34"/>
      <c r="L41" s="34"/>
      <c r="M41" s="34"/>
      <c r="N41" s="34"/>
      <c r="O41" s="34"/>
      <c r="P41" s="34"/>
      <c r="Q41" s="34"/>
      <c r="R41" s="34"/>
      <c r="S41" s="34"/>
      <c r="T41" s="34"/>
      <c r="U41" s="34"/>
      <c r="V41" s="34"/>
      <c r="W41" s="34"/>
      <c r="X41" s="34"/>
      <c r="Y41" s="34"/>
      <c r="Z41" s="34"/>
    </row>
    <row r="42" ht="16.5" customHeight="1" spans="1:26">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 spans="1:26">
      <c r="A43" s="37" t="s">
        <v>47</v>
      </c>
      <c r="B43" s="21"/>
      <c r="C43" s="21"/>
      <c r="D43" s="22"/>
      <c r="E43" s="34"/>
      <c r="F43" s="34"/>
      <c r="G43" s="34"/>
      <c r="H43" s="34"/>
      <c r="I43" s="34"/>
      <c r="J43" s="34"/>
      <c r="K43" s="34"/>
      <c r="L43" s="34"/>
      <c r="M43" s="34"/>
      <c r="N43" s="34"/>
      <c r="O43" s="34"/>
      <c r="P43" s="34"/>
      <c r="Q43" s="34"/>
      <c r="R43" s="34"/>
      <c r="S43" s="34"/>
      <c r="T43" s="34"/>
      <c r="U43" s="34"/>
      <c r="V43" s="34"/>
      <c r="W43" s="34"/>
      <c r="X43" s="34"/>
      <c r="Y43" s="34"/>
      <c r="Z43" s="34"/>
    </row>
    <row r="44" ht="12.75" spans="1:26">
      <c r="A44" s="38" t="s">
        <v>48</v>
      </c>
      <c r="B44" s="39" t="s">
        <v>49</v>
      </c>
      <c r="C44" s="21"/>
      <c r="D44" s="22"/>
      <c r="E44" s="34"/>
      <c r="F44" s="34"/>
      <c r="G44" s="34"/>
      <c r="H44" s="34"/>
      <c r="I44" s="34"/>
      <c r="J44" s="34"/>
      <c r="K44" s="34"/>
      <c r="L44" s="34"/>
      <c r="M44" s="34"/>
      <c r="N44" s="34"/>
      <c r="O44" s="34"/>
      <c r="P44" s="34"/>
      <c r="Q44" s="34"/>
      <c r="R44" s="34"/>
      <c r="S44" s="34"/>
      <c r="T44" s="34"/>
      <c r="U44" s="34"/>
      <c r="V44" s="34"/>
      <c r="W44" s="34"/>
      <c r="X44" s="34"/>
      <c r="Y44" s="34"/>
      <c r="Z44" s="34"/>
    </row>
    <row r="45" ht="25.5" spans="1:26">
      <c r="A45" s="38" t="s">
        <v>50</v>
      </c>
      <c r="B45" s="53" t="s">
        <v>51</v>
      </c>
      <c r="C45" s="21"/>
      <c r="D45" s="22"/>
      <c r="E45" s="34"/>
      <c r="F45" s="34"/>
      <c r="G45" s="34"/>
      <c r="H45" s="34"/>
      <c r="I45" s="34"/>
      <c r="J45" s="34"/>
      <c r="K45" s="34"/>
      <c r="L45" s="34"/>
      <c r="M45" s="34"/>
      <c r="N45" s="34"/>
      <c r="O45" s="34"/>
      <c r="P45" s="34"/>
      <c r="Q45" s="34"/>
      <c r="R45" s="34"/>
      <c r="S45" s="34"/>
      <c r="T45" s="34"/>
      <c r="U45" s="34"/>
      <c r="V45" s="34"/>
      <c r="W45" s="34"/>
      <c r="X45" s="34"/>
      <c r="Y45" s="34"/>
      <c r="Z45" s="34"/>
    </row>
    <row r="46" ht="25.5" spans="1:26">
      <c r="A46" s="38" t="s">
        <v>52</v>
      </c>
      <c r="B46" s="39" t="s">
        <v>53</v>
      </c>
      <c r="C46" s="21"/>
      <c r="D46" s="22"/>
      <c r="E46" s="34"/>
      <c r="F46" s="34"/>
      <c r="G46" s="34"/>
      <c r="H46" s="34"/>
      <c r="I46" s="34"/>
      <c r="J46" s="34"/>
      <c r="K46" s="34"/>
      <c r="L46" s="34"/>
      <c r="M46" s="34"/>
      <c r="N46" s="34"/>
      <c r="O46" s="34"/>
      <c r="P46" s="34"/>
      <c r="Q46" s="34"/>
      <c r="R46" s="34"/>
      <c r="S46" s="34"/>
      <c r="T46" s="34"/>
      <c r="U46" s="34"/>
      <c r="V46" s="34"/>
      <c r="W46" s="34"/>
      <c r="X46" s="34"/>
      <c r="Y46" s="34"/>
      <c r="Z46" s="34"/>
    </row>
    <row r="47" ht="12.75" spans="1:26">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 spans="1:26">
      <c r="A48" s="37" t="s">
        <v>54</v>
      </c>
      <c r="B48" s="21"/>
      <c r="C48" s="21"/>
      <c r="D48" s="22"/>
      <c r="E48" s="34"/>
      <c r="F48" s="34"/>
      <c r="G48" s="34"/>
      <c r="H48" s="34"/>
      <c r="I48" s="34"/>
      <c r="J48" s="34"/>
      <c r="K48" s="34"/>
      <c r="L48" s="34"/>
      <c r="M48" s="34"/>
      <c r="N48" s="34"/>
      <c r="O48" s="34"/>
      <c r="P48" s="34"/>
      <c r="Q48" s="34"/>
      <c r="R48" s="34"/>
      <c r="S48" s="34"/>
      <c r="T48" s="34"/>
      <c r="U48" s="34"/>
      <c r="V48" s="34"/>
      <c r="W48" s="34"/>
      <c r="X48" s="34"/>
      <c r="Y48" s="34"/>
      <c r="Z48" s="34"/>
    </row>
    <row r="49" ht="12.75" spans="1:26">
      <c r="A49" s="54" t="s">
        <v>55</v>
      </c>
      <c r="B49" s="55" t="s">
        <v>56</v>
      </c>
      <c r="C49" s="56"/>
      <c r="D49" s="56"/>
      <c r="E49" s="34"/>
      <c r="F49" s="34"/>
      <c r="G49" s="34"/>
      <c r="H49" s="34"/>
      <c r="I49" s="34"/>
      <c r="J49" s="34"/>
      <c r="K49" s="34"/>
      <c r="L49" s="34"/>
      <c r="M49" s="34"/>
      <c r="N49" s="34"/>
      <c r="O49" s="34"/>
      <c r="P49" s="34"/>
      <c r="Q49" s="34"/>
      <c r="R49" s="34"/>
      <c r="S49" s="34"/>
      <c r="T49" s="34"/>
      <c r="U49" s="34"/>
      <c r="V49" s="34"/>
      <c r="W49" s="34"/>
      <c r="X49" s="34"/>
      <c r="Y49" s="34"/>
      <c r="Z49" s="34"/>
    </row>
    <row r="50" ht="12.75" spans="1:26">
      <c r="A50" s="38" t="s">
        <v>57</v>
      </c>
      <c r="B50" s="39" t="s">
        <v>58</v>
      </c>
      <c r="C50" s="21"/>
      <c r="D50" s="22"/>
      <c r="E50" s="34"/>
      <c r="F50" s="34"/>
      <c r="G50" s="34"/>
      <c r="H50" s="34"/>
      <c r="I50" s="34"/>
      <c r="J50" s="34"/>
      <c r="K50" s="34"/>
      <c r="L50" s="34"/>
      <c r="M50" s="34"/>
      <c r="N50" s="34"/>
      <c r="O50" s="34"/>
      <c r="P50" s="34"/>
      <c r="Q50" s="34"/>
      <c r="R50" s="34"/>
      <c r="S50" s="34"/>
      <c r="T50" s="34"/>
      <c r="U50" s="34"/>
      <c r="V50" s="34"/>
      <c r="W50" s="34"/>
      <c r="X50" s="34"/>
      <c r="Y50" s="34"/>
      <c r="Z50" s="34"/>
    </row>
    <row r="51" ht="12.75" spans="1:26">
      <c r="A51" s="38" t="s">
        <v>59</v>
      </c>
      <c r="B51" s="53" t="s">
        <v>60</v>
      </c>
      <c r="C51" s="21"/>
      <c r="D51" s="22"/>
      <c r="E51" s="34"/>
      <c r="F51" s="34"/>
      <c r="G51" s="34"/>
      <c r="H51" s="34"/>
      <c r="I51" s="34"/>
      <c r="J51" s="34"/>
      <c r="K51" s="34"/>
      <c r="L51" s="34"/>
      <c r="M51" s="34"/>
      <c r="N51" s="34"/>
      <c r="O51" s="34"/>
      <c r="P51" s="34"/>
      <c r="Q51" s="34"/>
      <c r="R51" s="34"/>
      <c r="S51" s="34"/>
      <c r="T51" s="34"/>
      <c r="U51" s="34"/>
      <c r="V51" s="34"/>
      <c r="W51" s="34"/>
      <c r="X51" s="34"/>
      <c r="Y51" s="34"/>
      <c r="Z51" s="34"/>
    </row>
    <row r="52" ht="12.75" spans="1:26">
      <c r="A52" s="38" t="s">
        <v>61</v>
      </c>
      <c r="B52" s="39" t="s">
        <v>62</v>
      </c>
      <c r="C52" s="21"/>
      <c r="D52" s="22"/>
      <c r="E52" s="34"/>
      <c r="F52" s="34"/>
      <c r="G52" s="34"/>
      <c r="H52" s="34"/>
      <c r="I52" s="34"/>
      <c r="J52" s="34"/>
      <c r="K52" s="34"/>
      <c r="L52" s="34"/>
      <c r="M52" s="34"/>
      <c r="N52" s="34"/>
      <c r="O52" s="34"/>
      <c r="P52" s="34"/>
      <c r="Q52" s="34"/>
      <c r="R52" s="34"/>
      <c r="S52" s="34"/>
      <c r="T52" s="34"/>
      <c r="U52" s="34"/>
      <c r="V52" s="34"/>
      <c r="W52" s="34"/>
      <c r="X52" s="34"/>
      <c r="Y52" s="34"/>
      <c r="Z52" s="34"/>
    </row>
    <row r="53" ht="12.75" spans="1:26">
      <c r="A53" s="38" t="s">
        <v>63</v>
      </c>
      <c r="B53" s="53" t="s">
        <v>64</v>
      </c>
      <c r="C53" s="21"/>
      <c r="D53" s="22"/>
      <c r="E53" s="34"/>
      <c r="F53" s="34"/>
      <c r="G53" s="34"/>
      <c r="H53" s="34"/>
      <c r="I53" s="34"/>
      <c r="J53" s="34"/>
      <c r="K53" s="34"/>
      <c r="L53" s="34"/>
      <c r="M53" s="34"/>
      <c r="N53" s="34"/>
      <c r="O53" s="34"/>
      <c r="P53" s="34"/>
      <c r="Q53" s="34"/>
      <c r="R53" s="34"/>
      <c r="S53" s="34"/>
      <c r="T53" s="34"/>
      <c r="U53" s="34"/>
      <c r="V53" s="34"/>
      <c r="W53" s="34"/>
      <c r="X53" s="34"/>
      <c r="Y53" s="34"/>
      <c r="Z53" s="34"/>
    </row>
    <row r="54" ht="12.75" spans="1:26">
      <c r="A54" s="38" t="s">
        <v>65</v>
      </c>
      <c r="B54" s="39" t="s">
        <v>66</v>
      </c>
      <c r="C54" s="21"/>
      <c r="D54" s="22"/>
      <c r="E54" s="34"/>
      <c r="F54" s="34"/>
      <c r="G54" s="34"/>
      <c r="H54" s="34"/>
      <c r="I54" s="34"/>
      <c r="J54" s="34"/>
      <c r="K54" s="34"/>
      <c r="L54" s="34"/>
      <c r="M54" s="34"/>
      <c r="N54" s="34"/>
      <c r="O54" s="34"/>
      <c r="P54" s="34"/>
      <c r="Q54" s="34"/>
      <c r="R54" s="34"/>
      <c r="S54" s="34"/>
      <c r="T54" s="34"/>
      <c r="U54" s="34"/>
      <c r="V54" s="34"/>
      <c r="W54" s="34"/>
      <c r="X54" s="34"/>
      <c r="Y54" s="34"/>
      <c r="Z54" s="34"/>
    </row>
    <row r="55" ht="12.75" spans="1:26">
      <c r="A55" s="38" t="s">
        <v>67</v>
      </c>
      <c r="B55" s="53" t="s">
        <v>68</v>
      </c>
      <c r="C55" s="21"/>
      <c r="D55" s="22"/>
      <c r="E55" s="34"/>
      <c r="F55" s="34"/>
      <c r="G55" s="34"/>
      <c r="H55" s="34"/>
      <c r="I55" s="34"/>
      <c r="J55" s="34"/>
      <c r="K55" s="34"/>
      <c r="L55" s="34"/>
      <c r="M55" s="34"/>
      <c r="N55" s="34"/>
      <c r="O55" s="34"/>
      <c r="P55" s="34"/>
      <c r="Q55" s="34"/>
      <c r="R55" s="34"/>
      <c r="S55" s="34"/>
      <c r="T55" s="34"/>
      <c r="U55" s="34"/>
      <c r="V55" s="34"/>
      <c r="W55" s="34"/>
      <c r="X55" s="34"/>
      <c r="Y55" s="34"/>
      <c r="Z55" s="34"/>
    </row>
    <row r="56" ht="12.75" spans="1:26">
      <c r="A56" s="38" t="s">
        <v>69</v>
      </c>
      <c r="B56" s="39" t="s">
        <v>70</v>
      </c>
      <c r="C56" s="21"/>
      <c r="D56" s="22"/>
      <c r="E56" s="34"/>
      <c r="F56" s="34"/>
      <c r="G56" s="34"/>
      <c r="H56" s="34"/>
      <c r="I56" s="34"/>
      <c r="J56" s="34"/>
      <c r="K56" s="34"/>
      <c r="L56" s="34"/>
      <c r="M56" s="34"/>
      <c r="N56" s="34"/>
      <c r="O56" s="34"/>
      <c r="P56" s="34"/>
      <c r="Q56" s="34"/>
      <c r="R56" s="34"/>
      <c r="S56" s="34"/>
      <c r="T56" s="34"/>
      <c r="U56" s="34"/>
      <c r="V56" s="34"/>
      <c r="W56" s="34"/>
      <c r="X56" s="34"/>
      <c r="Y56" s="34"/>
      <c r="Z56" s="34"/>
    </row>
    <row r="57" ht="12.75" spans="1:26">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spans="1:26">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spans="1:26">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spans="1:26">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spans="1:26">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spans="1:26">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spans="1:26">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spans="1:26">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spans="1:26">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spans="1:2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spans="1:26">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spans="1:26">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spans="1:26">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spans="1:26">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spans="1:26">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spans="1:26">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spans="1:26">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spans="1:26">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spans="1:26">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spans="1:2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spans="1:26">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spans="1:26">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spans="1:26">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spans="1:26">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spans="1:26">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spans="1:26">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spans="1:26">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spans="1:26">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spans="1:26">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spans="1:2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spans="1:26">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spans="1:26">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spans="1:26">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spans="1:26">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spans="1:26">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spans="1:26">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spans="1:26">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spans="1:26">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spans="1:26">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spans="1:2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spans="1:26">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spans="1:26">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spans="1:26">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spans="1:26">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spans="1:26">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spans="1:26">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spans="1:26">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spans="1:26">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spans="1:26">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spans="1:2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spans="1:26">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spans="1:26">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spans="1:26">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spans="1:26">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spans="1:26">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spans="1:26">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spans="1:26">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spans="1:26">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spans="1:26">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spans="1:2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spans="1:26">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spans="1:26">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spans="1:26">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spans="1:26">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spans="1:26">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spans="1:26">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spans="1:26">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spans="1:26">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spans="1:26">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spans="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spans="1:26">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spans="1:26">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spans="1:26">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spans="1:26">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spans="1:26">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spans="1:26">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spans="1:26">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spans="1:26">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spans="1:26">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spans="1:2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spans="1:26">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spans="1:26">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spans="1:26">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spans="1:26">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spans="1:26">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spans="1:26">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spans="1:26">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spans="1:26">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spans="1:26">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spans="1:2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spans="1:26">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spans="1:26">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spans="1:26">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spans="1:26">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spans="1:26">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spans="1:26">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spans="1:26">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spans="1:26">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spans="1:26">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spans="1:2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spans="1:26">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spans="1:26">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spans="1:26">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spans="1:26">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spans="1:26">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spans="1:26">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spans="1:26">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spans="1:26">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spans="1:26">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spans="1:2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spans="1:26">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spans="1:26">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spans="1:26">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spans="1:26">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spans="1:26">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spans="1:26">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spans="1:26">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spans="1:26">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spans="1:26">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spans="1:2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spans="1:26">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spans="1:26">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spans="1:26">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spans="1:26">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spans="1:26">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spans="1:26">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spans="1:26">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spans="1:26">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spans="1:26">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spans="1:2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spans="1:26">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spans="1:26">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spans="1:26">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spans="1:26">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spans="1:26">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spans="1:26">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spans="1:26">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spans="1:26">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spans="1:26">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spans="1:2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spans="1:26">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spans="1:26">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spans="1:26">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spans="1:26">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spans="1:26">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spans="1:26">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spans="1:26">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spans="1:26">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spans="1:26">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spans="1:2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spans="1:26">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spans="1:26">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spans="1:26">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spans="1:26">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spans="1:26">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spans="1:26">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spans="1:26">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spans="1:26">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spans="1:26">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spans="1:2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spans="1:26">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spans="1:26">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spans="1:26">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spans="1:26">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spans="1:26">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spans="1:26">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spans="1:26">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spans="1:26">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spans="1:26">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spans="1: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spans="1:26">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spans="1:26">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spans="1:26">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spans="1:26">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spans="1:26">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spans="1:26">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spans="1:26">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spans="1:26">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spans="1:26">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spans="1:2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spans="1:26">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spans="1:26">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spans="1:26">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spans="1:26">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spans="1:26">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spans="1:26">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spans="1:26">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spans="1:26">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spans="1:26">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spans="1:2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spans="1:26">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spans="1:26">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spans="1:26">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spans="1:26">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spans="1:26">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spans="1:26">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spans="1:26">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spans="1:26">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spans="1:26">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spans="1:2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spans="1:26">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spans="1:26">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spans="1:26">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spans="1:26">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spans="1:26">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spans="1:26">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spans="1:26">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spans="1:26">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spans="1:26">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spans="1:2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spans="1:26">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spans="1:26">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spans="1:26">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spans="1:26">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spans="1:26">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spans="1:26">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spans="1:26">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spans="1:26">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spans="1:26">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spans="1:2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spans="1:26">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spans="1:26">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spans="1:26">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spans="1:26">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spans="1:26">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spans="1:26">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spans="1:26">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spans="1:26">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spans="1:26">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spans="1:2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spans="1:26">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spans="1:26">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spans="1:26">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spans="1:26">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spans="1:26">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spans="1:26">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spans="1:26">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spans="1:26">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spans="1:26">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spans="1:2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spans="1:26">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spans="1:26">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spans="1:26">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spans="1:26">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spans="1:26">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spans="1:26">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spans="1:26">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spans="1:26">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spans="1:26">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spans="1:2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spans="1:26">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spans="1:26">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spans="1:26">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spans="1:26">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spans="1:26">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spans="1:26">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spans="1:26">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spans="1:26">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spans="1:26">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spans="1:2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spans="1:26">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spans="1:26">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spans="1:26">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spans="1:26">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spans="1:26">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spans="1:26">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spans="1:26">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spans="1:26">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spans="1:26">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spans="1: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spans="1:26">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spans="1:26">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spans="1:26">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spans="1:26">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spans="1:26">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spans="1:26">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spans="1:26">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spans="1:26">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spans="1:26">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spans="1:2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spans="1:26">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spans="1:26">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spans="1:26">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spans="1:26">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spans="1:26">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spans="1:26">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spans="1:26">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spans="1:26">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spans="1:26">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spans="1:2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spans="1:26">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spans="1:26">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spans="1:26">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spans="1:26">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spans="1:26">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spans="1:26">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spans="1:26">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spans="1:26">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spans="1:26">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spans="1:2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spans="1:26">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spans="1:26">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spans="1:26">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spans="1:26">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spans="1:26">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spans="1:26">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spans="1:26">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spans="1:26">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spans="1:26">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spans="1:2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spans="1:26">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spans="1:26">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spans="1:26">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spans="1:26">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spans="1:26">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spans="1:26">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spans="1:26">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spans="1:26">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spans="1:26">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spans="1:2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spans="1:26">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spans="1:26">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spans="1:26">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spans="1:26">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spans="1:26">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spans="1:26">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spans="1:26">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spans="1:26">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spans="1:26">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spans="1:2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spans="1:26">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spans="1:26">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spans="1:26">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spans="1:26">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spans="1:26">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spans="1:26">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spans="1:26">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spans="1:26">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spans="1:26">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spans="1:2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spans="1:26">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spans="1:26">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spans="1:26">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spans="1:26">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spans="1:26">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spans="1:26">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spans="1:26">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spans="1:26">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spans="1:26">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spans="1:2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spans="1:26">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spans="1:26">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spans="1:26">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spans="1:26">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spans="1:26">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spans="1:26">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spans="1:26">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spans="1:26">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spans="1:26">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spans="1:2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spans="1:26">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spans="1:26">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spans="1:26">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spans="1:26">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spans="1:26">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spans="1:26">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spans="1:26">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spans="1:26">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spans="1:26">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spans="1: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spans="1:26">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spans="1:26">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spans="1:26">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spans="1:26">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spans="1:26">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spans="1:26">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spans="1:26">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spans="1:26">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spans="1:26">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spans="1:2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spans="1:26">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spans="1:26">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spans="1:26">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spans="1:26">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spans="1:26">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spans="1:26">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spans="1:26">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spans="1:26">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spans="1:26">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spans="1:2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spans="1:26">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spans="1:26">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spans="1:26">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spans="1:26">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spans="1:26">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spans="1:26">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spans="1:26">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spans="1:26">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spans="1:26">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spans="1:2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spans="1:26">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spans="1:26">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spans="1:26">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spans="1:26">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spans="1:26">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spans="1:26">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spans="1:26">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spans="1:26">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spans="1:26">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spans="1:2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spans="1:26">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spans="1:26">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spans="1:26">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spans="1:26">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spans="1:26">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spans="1:26">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spans="1:26">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spans="1:26">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spans="1:26">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spans="1:2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spans="1:26">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spans="1:26">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spans="1:26">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spans="1:26">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spans="1:26">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spans="1:26">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spans="1:26">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spans="1:26">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spans="1:26">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spans="1:2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spans="1:26">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spans="1:26">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spans="1:26">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spans="1:26">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spans="1:26">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spans="1:26">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spans="1:26">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spans="1:26">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spans="1:26">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spans="1:2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spans="1:26">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spans="1:26">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spans="1:26">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spans="1:26">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spans="1:26">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spans="1:26">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spans="1:26">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spans="1:26">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spans="1:26">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spans="1:2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spans="1:26">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spans="1:26">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spans="1:26">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spans="1:26">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spans="1:26">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spans="1:26">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spans="1:26">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spans="1:26">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spans="1:26">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spans="1:2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spans="1:26">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spans="1:26">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spans="1:26">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spans="1:26">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spans="1:26">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spans="1:26">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spans="1:26">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spans="1:26">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spans="1:26">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spans="1: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spans="1:26">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spans="1:26">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spans="1:26">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spans="1:26">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spans="1:26">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spans="1:26">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spans="1:26">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spans="1:26">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spans="1:26">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spans="1:2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spans="1:26">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spans="1:26">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spans="1:26">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spans="1:26">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spans="1:26">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spans="1:26">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spans="1:26">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spans="1:26">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spans="1:26">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spans="1:2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spans="1:26">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spans="1:26">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spans="1:26">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spans="1:26">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spans="1:26">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spans="1:26">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spans="1:26">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spans="1:26">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spans="1:26">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spans="1:2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spans="1:26">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spans="1:26">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spans="1:26">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spans="1:26">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spans="1:26">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spans="1:26">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spans="1:26">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spans="1:26">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spans="1:26">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spans="1:2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spans="1:26">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spans="1:26">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spans="1:26">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spans="1:26">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spans="1:26">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spans="1:26">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spans="1:26">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spans="1:26">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spans="1:26">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spans="1:2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spans="1:26">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spans="1:26">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spans="1:26">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spans="1:26">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spans="1:26">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spans="1:26">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spans="1:26">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spans="1:26">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spans="1:26">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spans="1:2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spans="1:26">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spans="1:26">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spans="1:26">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spans="1:26">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spans="1:26">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spans="1:26">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spans="1:26">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spans="1:26">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spans="1:26">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spans="1:2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spans="1:26">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spans="1:26">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spans="1:26">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spans="1:26">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spans="1:26">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spans="1:26">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spans="1:26">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spans="1:26">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spans="1:26">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spans="1:2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spans="1:26">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spans="1:26">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spans="1:26">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spans="1:26">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spans="1:26">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spans="1:26">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spans="1:26">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spans="1:26">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spans="1:26">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spans="1:2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spans="1:26">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spans="1:26">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spans="1:26">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spans="1:26">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spans="1:26">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spans="1:26">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spans="1:26">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spans="1:26">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spans="1:26">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spans="1: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spans="1:26">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spans="1:26">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spans="1:26">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spans="1:26">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spans="1:26">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spans="1:26">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spans="1:26">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spans="1:26">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spans="1:26">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spans="1:2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spans="1:26">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spans="1:26">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spans="1:26">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spans="1:26">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spans="1:26">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spans="1:26">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spans="1:26">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spans="1:26">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spans="1:26">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spans="1:2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spans="1:26">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spans="1:26">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spans="1:26">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spans="1:26">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spans="1:26">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spans="1:26">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spans="1:26">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spans="1:26">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spans="1:26">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spans="1:2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spans="1:26">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spans="1:26">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spans="1:26">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spans="1:26">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spans="1:26">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spans="1:26">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spans="1:26">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spans="1:26">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spans="1:26">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spans="1:2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spans="1:26">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spans="1:26">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spans="1:26">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spans="1:26">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spans="1:26">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spans="1:26">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spans="1:26">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spans="1:26">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spans="1:26">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spans="1:2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spans="1:26">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spans="1:26">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spans="1:26">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spans="1:26">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spans="1:26">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spans="1:26">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spans="1:26">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spans="1:26">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spans="1:26">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spans="1:2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spans="1:26">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spans="1:26">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spans="1:26">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spans="1:26">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spans="1:26">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spans="1:26">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spans="1:26">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spans="1:26">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spans="1:26">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spans="1:2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spans="1:26">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spans="1:26">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spans="1:26">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spans="1:26">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spans="1:26">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spans="1:26">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spans="1:26">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spans="1:26">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spans="1:26">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spans="1:2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spans="1:26">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spans="1:26">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spans="1:26">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spans="1:26">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spans="1:26">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spans="1:26">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spans="1:26">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spans="1:26">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spans="1:26">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spans="1:2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spans="1:26">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spans="1:26">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spans="1:26">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spans="1:26">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spans="1:26">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spans="1:26">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spans="1:26">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spans="1:26">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spans="1:26">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spans="1: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spans="1:26">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spans="1:26">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spans="1:26">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spans="1:26">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spans="1:26">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spans="1:26">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spans="1:26">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spans="1:26">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spans="1:26">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spans="1:2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spans="1:26">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spans="1:26">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spans="1:26">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spans="1:26">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spans="1:26">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spans="1:26">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spans="1:26">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spans="1:26">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spans="1:26">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spans="1:2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spans="1:26">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spans="1:26">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spans="1:26">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spans="1:26">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spans="1:26">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spans="1:26">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spans="1:26">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spans="1:26">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spans="1:26">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spans="1:2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spans="1:26">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spans="1:26">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spans="1:26">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spans="1:26">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spans="1:26">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spans="1:26">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spans="1:26">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spans="1:26">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spans="1:26">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spans="1:2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spans="1:26">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spans="1:26">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spans="1:26">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spans="1:26">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spans="1:26">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spans="1:26">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spans="1:26">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spans="1:26">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spans="1:26">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spans="1:2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spans="1:26">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spans="1:26">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spans="1:26">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spans="1:26">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spans="1:26">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spans="1:26">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spans="1:26">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spans="1:26">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spans="1:26">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spans="1:2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spans="1:26">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spans="1:26">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spans="1:26">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spans="1:26">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spans="1:26">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spans="1:26">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spans="1:26">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spans="1:26">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spans="1:26">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spans="1:2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spans="1:26">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spans="1:26">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spans="1:26">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spans="1:26">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spans="1:26">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spans="1:26">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spans="1:26">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spans="1:26">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spans="1:26">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spans="1:2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spans="1:26">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spans="1:26">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spans="1:26">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spans="1:26">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spans="1:26">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spans="1:26">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spans="1:26">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spans="1:26">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spans="1:26">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spans="1:2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spans="1:26">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spans="1:26">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spans="1:26">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spans="1:26">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spans="1:26">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spans="1:26">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spans="1:26">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spans="1:26">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spans="1:26">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spans="1: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spans="1:26">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spans="1:26">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spans="1:26">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spans="1:26">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spans="1:26">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spans="1:26">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spans="1:26">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spans="1:26">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spans="1:26">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spans="1:2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spans="1:26">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spans="1:26">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spans="1:26">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spans="1:26">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spans="1:26">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spans="1:26">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spans="1:26">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spans="1:26">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spans="1:26">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spans="1:2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spans="1:26">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spans="1:26">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spans="1:26">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spans="1:26">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spans="1:26">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spans="1:26">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spans="1:26">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spans="1:26">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spans="1:26">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spans="1:2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spans="1:26">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spans="1:26">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spans="1:26">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spans="1:26">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spans="1:26">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spans="1:26">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spans="1:26">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spans="1:26">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spans="1:26">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spans="1:2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spans="1:26">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spans="1:26">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spans="1:26">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spans="1:26">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spans="1:26">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spans="1:26">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spans="1:26">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spans="1:26">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spans="1:26">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spans="1:2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spans="1:26">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spans="1:26">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spans="1:26">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spans="1:26">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spans="1:26">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spans="1:26">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spans="1:26">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spans="1:26">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spans="1:26">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spans="1:2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spans="1:26">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spans="1:26">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spans="1:26">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spans="1:26">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spans="1:26">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spans="1:26">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spans="1:26">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spans="1:26">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spans="1:26">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spans="1:2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spans="1:26">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spans="1:26">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spans="1:26">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spans="1:26">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spans="1:26">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spans="1:26">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spans="1:26">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spans="1:26">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spans="1:26">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spans="1:2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spans="1:26">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spans="1:26">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spans="1:26">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spans="1:26">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spans="1:26">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spans="1:26">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spans="1:26">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spans="1:26">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spans="1:26">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spans="1:2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spans="1:26">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spans="1:26">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spans="1:26">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spans="1:26">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spans="1:26">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spans="1:26">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spans="1:26">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spans="1:26">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spans="1:26">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spans="1: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spans="1:26">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spans="1:26">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spans="1:26">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spans="1:26">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spans="1:26">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spans="1:26">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spans="1:26">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spans="1:26">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spans="1:26">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spans="1:2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spans="1:26">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spans="1:26">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spans="1:26">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spans="1:26">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spans="1:26">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spans="1:26">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spans="1:26">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spans="1:26">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spans="1:26">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spans="1:2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spans="1:26">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spans="1:26">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spans="1:26">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spans="1:26">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spans="1:26">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spans="1:26">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spans="1:26">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spans="1:26">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spans="1:26">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spans="1:2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spans="1:26">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spans="1:26">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spans="1:26">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spans="1:26">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spans="1:26">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spans="1:26">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spans="1:26">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spans="1:26">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spans="1:26">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spans="1:2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spans="1:26">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spans="1:26">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spans="1:26">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spans="1:26">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spans="1:26">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spans="1:26">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spans="1:26">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spans="1:26">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spans="1:26">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spans="1:2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spans="1:26">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spans="1:26">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spans="1:26">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spans="1:26">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spans="1:26">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spans="1:26">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spans="1:26">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spans="1:26">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spans="1:26">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spans="1:2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spans="1:26">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spans="1:26">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spans="1:26">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spans="1:26">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spans="1:26">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spans="1:26">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spans="1:26">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spans="1:26">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spans="1:26">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spans="1:2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spans="1:26">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sheetData>
  <mergeCells count="29">
    <mergeCell ref="A1:D1"/>
    <mergeCell ref="A2:D2"/>
    <mergeCell ref="A3:D3"/>
    <mergeCell ref="A5:D5"/>
    <mergeCell ref="B6:D6"/>
    <mergeCell ref="B7:D7"/>
    <mergeCell ref="B8:D8"/>
    <mergeCell ref="A10:D10"/>
    <mergeCell ref="B11:D11"/>
    <mergeCell ref="A19:D19"/>
    <mergeCell ref="B20:D20"/>
    <mergeCell ref="B21:D21"/>
    <mergeCell ref="A23:D23"/>
    <mergeCell ref="B24:D24"/>
    <mergeCell ref="A32:D32"/>
    <mergeCell ref="B33:D33"/>
    <mergeCell ref="A41:D41"/>
    <mergeCell ref="A43:D43"/>
    <mergeCell ref="B44:D44"/>
    <mergeCell ref="B45:D45"/>
    <mergeCell ref="B46:D46"/>
    <mergeCell ref="A48:D48"/>
    <mergeCell ref="B50:D50"/>
    <mergeCell ref="B51:D51"/>
    <mergeCell ref="B52:D52"/>
    <mergeCell ref="B53:D53"/>
    <mergeCell ref="B54:D54"/>
    <mergeCell ref="B55:D55"/>
    <mergeCell ref="B56:D5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tabSelected="1" workbookViewId="0">
      <selection activeCell="A1" sqref="A1:V1"/>
    </sheetView>
  </sheetViews>
  <sheetFormatPr defaultColWidth="12.6285714285714" defaultRowHeight="15.75" customHeight="1"/>
  <cols>
    <col min="1" max="1" width="19.247619047619" customWidth="1"/>
    <col min="9" max="9" width="17.752380952381" customWidth="1"/>
    <col min="10" max="10" width="14.1333333333333" customWidth="1"/>
    <col min="11" max="11" width="14.247619047619" customWidth="1"/>
    <col min="12" max="12" width="14.8761904761905" customWidth="1"/>
    <col min="13" max="14" width="14.247619047619" customWidth="1"/>
    <col min="21" max="21" width="16.247619047619" customWidth="1"/>
  </cols>
  <sheetData>
    <row r="1" customHeight="1" spans="1:26">
      <c r="A1" s="25" t="s">
        <v>71</v>
      </c>
    </row>
    <row r="2" customHeight="1" spans="1:26">
      <c r="I2" s="26"/>
    </row>
    <row r="3" customHeight="1" spans="1:26">
      <c r="A3" s="27" t="s">
        <v>14</v>
      </c>
      <c r="B3" s="27">
        <v>2019</v>
      </c>
      <c r="C3" s="27">
        <v>2020</v>
      </c>
      <c r="D3" s="27">
        <v>2021</v>
      </c>
      <c r="E3" s="27">
        <v>2022</v>
      </c>
      <c r="F3" s="27">
        <v>2023</v>
      </c>
      <c r="G3" s="27">
        <v>2024</v>
      </c>
      <c r="H3" s="27" t="s">
        <v>72</v>
      </c>
      <c r="I3" s="27" t="s">
        <v>73</v>
      </c>
      <c r="J3" s="27" t="s">
        <v>74</v>
      </c>
      <c r="K3" s="27" t="s">
        <v>75</v>
      </c>
      <c r="L3" s="27" t="s">
        <v>76</v>
      </c>
      <c r="M3" s="27" t="s">
        <v>77</v>
      </c>
      <c r="N3" s="27" t="s">
        <v>78</v>
      </c>
      <c r="O3" s="27" t="s">
        <v>79</v>
      </c>
      <c r="P3" s="27" t="s">
        <v>80</v>
      </c>
      <c r="Q3" s="27" t="s">
        <v>81</v>
      </c>
      <c r="R3" s="27" t="s">
        <v>82</v>
      </c>
      <c r="S3" s="27" t="s">
        <v>83</v>
      </c>
      <c r="T3" s="27" t="s">
        <v>84</v>
      </c>
      <c r="U3" s="27" t="s">
        <v>85</v>
      </c>
      <c r="V3" s="27" t="s">
        <v>86</v>
      </c>
      <c r="W3" s="28"/>
      <c r="X3" s="28"/>
      <c r="Y3" s="28"/>
      <c r="Z3" s="28"/>
    </row>
    <row r="4" customHeight="1" spans="1:26">
      <c r="A4" s="29" t="s">
        <v>87</v>
      </c>
      <c r="B4" s="30">
        <f>SUMIFS(BSP_CORRIDORS!$D:$D,BSP_CORRIDORS!$A:$A,B$3,BSP_CORRIDORS!$C:$C,$A4)</f>
        <v>442309</v>
      </c>
      <c r="C4" s="30">
        <f>SUMIFS(BSP_CORRIDORS!$D:$D,BSP_CORRIDORS!$A:$A,C$3,BSP_CORRIDORS!$C:$C,$A4)</f>
        <v>319129</v>
      </c>
      <c r="D4" s="30">
        <f>SUMIFS(BSP_CORRIDORS!$D:$D,BSP_CORRIDORS!$A:$A,D$3,BSP_CORRIDORS!$C:$C,$A4)</f>
        <v>284924</v>
      </c>
      <c r="E4" s="30">
        <f>SUMIFS(BSP_CORRIDORS!$D:$D,BSP_CORRIDORS!$A:$A,E$3,BSP_CORRIDORS!$C:$C,$A4)</f>
        <v>291794</v>
      </c>
      <c r="F4" s="30">
        <f>SUMIFS(BSP_CORRIDORS!$D:$D,BSP_CORRIDORS!$A:$A,F$3,BSP_CORRIDORS!$C:$C,$A4)</f>
        <v>301261</v>
      </c>
      <c r="G4" s="30">
        <f>SUMIFS(BSP_CORRIDORS!$D:$D,BSP_CORRIDORS!$A:$A,G$3,BSP_CORRIDORS!$C:$C,$A4)</f>
        <v>307064</v>
      </c>
      <c r="H4" s="30">
        <f t="shared" ref="H4:H30" si="0">SUM(B4:G4)</f>
        <v>1946481</v>
      </c>
      <c r="I4" s="31">
        <f t="shared" ref="I4:I30" si="1">IF(B4=0,"N/A",(G4/B4)^(1/5)-1)</f>
        <v>-0.0703903457766362</v>
      </c>
      <c r="J4" s="31">
        <f t="shared" ref="J4:M4" si="2">IF(B4=0,"N/A",(C4-B4)/B4)</f>
        <v>-0.278493089672604</v>
      </c>
      <c r="K4" s="31">
        <f t="shared" si="2"/>
        <v>-0.107182361991546</v>
      </c>
      <c r="L4" s="31">
        <f t="shared" si="2"/>
        <v>0.0241116929426795</v>
      </c>
      <c r="M4" s="31">
        <f t="shared" si="2"/>
        <v>0.0324441215377972</v>
      </c>
      <c r="N4" s="31">
        <f t="shared" ref="N4:N30" si="3">IF(F4=0,"N/A/",(G4-F4)/F4)</f>
        <v>0.019262367183273</v>
      </c>
      <c r="O4" s="31">
        <f t="shared" ref="O4:O30" si="4">IF(B4=0,"N/A",B4/30133300)</f>
        <v>0.0146784122548808</v>
      </c>
      <c r="P4" s="31">
        <f t="shared" ref="P4:P30" si="5">IF(C4=0,"N/A",C4/29903256)</f>
        <v>0.0106720485555152</v>
      </c>
      <c r="Q4" s="31">
        <f t="shared" ref="Q4:Q30" si="6">IF(D4=0,"N/A",D4/31417614)</f>
        <v>0.00906892547600846</v>
      </c>
      <c r="R4" s="31">
        <f t="shared" ref="R4:R30" si="7">IF(E4=0,"N/A",E4/32539430)</f>
        <v>0.00896739740063056</v>
      </c>
      <c r="S4" s="31">
        <f t="shared" ref="S4:S30" si="8">IF(F4=0,"N/A",F4/33490930)</f>
        <v>0.00899530111585435</v>
      </c>
      <c r="T4" s="31">
        <f t="shared" ref="T4:T30" si="9">IF(G4=0,"N/A",G4/34492616)</f>
        <v>0.0089023111497255</v>
      </c>
      <c r="U4" s="30">
        <f t="shared" ref="U4:U30" si="10">IF(G4=0,"N/A",G4*0.39)</f>
        <v>119754.96</v>
      </c>
      <c r="V4" s="30">
        <f t="shared" ref="V4:V30" si="11">IF(U4="N/A","N/A",U4/1000000)</f>
        <v>0.11975496</v>
      </c>
    </row>
    <row r="5" customHeight="1" spans="1:26">
      <c r="A5" s="29" t="s">
        <v>88</v>
      </c>
      <c r="B5" s="30">
        <f>SUMIFS(BSP_CORRIDORS!$D:$D,BSP_CORRIDORS!$A:$A,B$3,BSP_CORRIDORS!$C:$C,$A5)</f>
        <v>323033</v>
      </c>
      <c r="C5" s="30">
        <f>SUMIFS(BSP_CORRIDORS!$D:$D,BSP_CORRIDORS!$A:$A,C$3,BSP_CORRIDORS!$C:$C,$A5)</f>
        <v>228554</v>
      </c>
      <c r="D5" s="30">
        <f>SUMIFS(BSP_CORRIDORS!$D:$D,BSP_CORRIDORS!$A:$A,D$3,BSP_CORRIDORS!$C:$C,$A5)</f>
        <v>225890</v>
      </c>
      <c r="E5" s="30">
        <f>SUMIFS(BSP_CORRIDORS!$D:$D,BSP_CORRIDORS!$A:$A,E$3,BSP_CORRIDORS!$C:$C,$A5)</f>
        <v>244904</v>
      </c>
      <c r="F5" s="30">
        <f>SUMIFS(BSP_CORRIDORS!$D:$D,BSP_CORRIDORS!$A:$A,F$3,BSP_CORRIDORS!$C:$C,$A5)</f>
        <v>254996</v>
      </c>
      <c r="G5" s="30">
        <f>SUMIFS(BSP_CORRIDORS!$D:$D,BSP_CORRIDORS!$A:$A,G$3,BSP_CORRIDORS!$C:$C,$A5)</f>
        <v>261458</v>
      </c>
      <c r="H5" s="30">
        <f t="shared" si="0"/>
        <v>1538835</v>
      </c>
      <c r="I5" s="31">
        <f t="shared" si="1"/>
        <v>-0.041414161322482</v>
      </c>
      <c r="J5" s="31">
        <f t="shared" ref="J5:M5" si="12">IF(B5=0,"N/A",(C5-B5)/B5)</f>
        <v>-0.292474762640349</v>
      </c>
      <c r="K5" s="31">
        <f t="shared" si="12"/>
        <v>-0.0116558887615181</v>
      </c>
      <c r="L5" s="31">
        <f t="shared" si="12"/>
        <v>0.0841737128690956</v>
      </c>
      <c r="M5" s="31">
        <f t="shared" si="12"/>
        <v>0.0412079835364061</v>
      </c>
      <c r="N5" s="31">
        <f t="shared" si="3"/>
        <v>0.0253415739854743</v>
      </c>
      <c r="O5" s="31">
        <f t="shared" si="4"/>
        <v>0.0107201335399707</v>
      </c>
      <c r="P5" s="31">
        <f t="shared" si="5"/>
        <v>0.00764311418127845</v>
      </c>
      <c r="Q5" s="31">
        <f t="shared" si="6"/>
        <v>0.00718991582237913</v>
      </c>
      <c r="R5" s="31">
        <f t="shared" si="7"/>
        <v>0.00752637646080463</v>
      </c>
      <c r="S5" s="31">
        <f t="shared" si="8"/>
        <v>0.00761388232575208</v>
      </c>
      <c r="T5" s="31">
        <f t="shared" si="9"/>
        <v>0.00758011511797192</v>
      </c>
      <c r="U5" s="30">
        <f t="shared" si="10"/>
        <v>101968.62</v>
      </c>
      <c r="V5" s="30">
        <f t="shared" si="11"/>
        <v>0.10196862</v>
      </c>
    </row>
    <row r="6" customHeight="1" spans="1:26">
      <c r="A6" s="29" t="s">
        <v>89</v>
      </c>
      <c r="B6" s="30">
        <f>SUMIFS(BSP_CORRIDORS!$D:$D,BSP_CORRIDORS!$A:$A,B$3,BSP_CORRIDORS!$C:$C,$A6)</f>
        <v>1015805</v>
      </c>
      <c r="C6" s="30">
        <f>SUMIFS(BSP_CORRIDORS!$D:$D,BSP_CORRIDORS!$A:$A,C$3,BSP_CORRIDORS!$C:$C,$A6)</f>
        <v>1028866</v>
      </c>
      <c r="D6" s="30">
        <f>SUMIFS(BSP_CORRIDORS!$D:$D,BSP_CORRIDORS!$A:$A,D$3,BSP_CORRIDORS!$C:$C,$A6)</f>
        <v>1147796</v>
      </c>
      <c r="E6" s="30">
        <f>SUMIFS(BSP_CORRIDORS!$D:$D,BSP_CORRIDORS!$A:$A,E$3,BSP_CORRIDORS!$C:$C,$A6)</f>
        <v>1172530</v>
      </c>
      <c r="F6" s="30">
        <f>SUMIFS(BSP_CORRIDORS!$D:$D,BSP_CORRIDORS!$A:$A,F$3,BSP_CORRIDORS!$C:$C,$A6)</f>
        <v>1208259</v>
      </c>
      <c r="G6" s="30">
        <f>SUMIFS(BSP_CORRIDORS!$D:$D,BSP_CORRIDORS!$A:$A,G$3,BSP_CORRIDORS!$C:$C,$A6)</f>
        <v>1230773</v>
      </c>
      <c r="H6" s="30">
        <f t="shared" si="0"/>
        <v>6804029</v>
      </c>
      <c r="I6" s="31">
        <f t="shared" si="1"/>
        <v>0.0391387085030614</v>
      </c>
      <c r="J6" s="31">
        <f t="shared" ref="J6:M6" si="13">IF(B6=0,"N/A",(C6-B6)/B6)</f>
        <v>0.0128577827437353</v>
      </c>
      <c r="K6" s="31">
        <f t="shared" si="13"/>
        <v>0.115593284256648</v>
      </c>
      <c r="L6" s="31">
        <f t="shared" si="13"/>
        <v>0.021549125454349</v>
      </c>
      <c r="M6" s="31">
        <f t="shared" si="13"/>
        <v>0.0304717150094241</v>
      </c>
      <c r="N6" s="31">
        <f t="shared" si="3"/>
        <v>0.0186334221387964</v>
      </c>
      <c r="O6" s="31">
        <f t="shared" si="4"/>
        <v>0.0337103802105976</v>
      </c>
      <c r="P6" s="31">
        <f t="shared" si="5"/>
        <v>0.0344064873738164</v>
      </c>
      <c r="Q6" s="31">
        <f t="shared" si="6"/>
        <v>0.0365335190635419</v>
      </c>
      <c r="R6" s="31">
        <f t="shared" si="7"/>
        <v>0.0360341284404797</v>
      </c>
      <c r="S6" s="31">
        <f t="shared" si="8"/>
        <v>0.0360772006032678</v>
      </c>
      <c r="T6" s="31">
        <f t="shared" si="9"/>
        <v>0.0356822167387942</v>
      </c>
      <c r="U6" s="30">
        <f t="shared" si="10"/>
        <v>480001.47</v>
      </c>
      <c r="V6" s="30">
        <f t="shared" si="11"/>
        <v>0.48000147</v>
      </c>
    </row>
    <row r="7" customHeight="1" spans="1:26">
      <c r="A7" s="29" t="s">
        <v>31</v>
      </c>
      <c r="B7" s="30">
        <f>SUMIFS(BSP_CORRIDORS!$D:$D,BSP_CORRIDORS!$A:$A,B$3,BSP_CORRIDORS!$C:$C,$A7)</f>
        <v>196902</v>
      </c>
      <c r="C7" s="30">
        <f>SUMIFS(BSP_CORRIDORS!$D:$D,BSP_CORRIDORS!$A:$A,C$3,BSP_CORRIDORS!$C:$C,$A7)</f>
        <v>321256</v>
      </c>
      <c r="D7" s="30">
        <f>SUMIFS(BSP_CORRIDORS!$D:$D,BSP_CORRIDORS!$A:$A,D$3,BSP_CORRIDORS!$C:$C,$A7)</f>
        <v>364133</v>
      </c>
      <c r="E7" s="30">
        <f>SUMIFS(BSP_CORRIDORS!$D:$D,BSP_CORRIDORS!$A:$A,E$3,BSP_CORRIDORS!$C:$C,$A7)</f>
        <v>384391</v>
      </c>
      <c r="F7" s="30">
        <f>SUMIFS(BSP_CORRIDORS!$D:$D,BSP_CORRIDORS!$A:$A,F$3,BSP_CORRIDORS!$C:$C,$A7)</f>
        <v>391768</v>
      </c>
      <c r="G7" s="30">
        <f>SUMIFS(BSP_CORRIDORS!$D:$D,BSP_CORRIDORS!$A:$A,G$3,BSP_CORRIDORS!$C:$C,$A7)</f>
        <v>394866</v>
      </c>
      <c r="H7" s="30">
        <f t="shared" si="0"/>
        <v>2053316</v>
      </c>
      <c r="I7" s="31">
        <f t="shared" si="1"/>
        <v>0.149317243500891</v>
      </c>
      <c r="J7" s="31">
        <f t="shared" ref="J7:M7" si="14">IF(B7=0,"N/A",(C7-B7)/B7)</f>
        <v>0.631552752130501</v>
      </c>
      <c r="K7" s="31">
        <f t="shared" si="14"/>
        <v>0.133466767935852</v>
      </c>
      <c r="L7" s="31">
        <f t="shared" si="14"/>
        <v>0.0556335185220785</v>
      </c>
      <c r="M7" s="31">
        <f t="shared" si="14"/>
        <v>0.0191913962605784</v>
      </c>
      <c r="N7" s="31">
        <f t="shared" si="3"/>
        <v>0.00790774131628923</v>
      </c>
      <c r="O7" s="31">
        <f t="shared" si="4"/>
        <v>0.00653436563536022</v>
      </c>
      <c r="P7" s="31">
        <f t="shared" si="5"/>
        <v>0.0107431779335334</v>
      </c>
      <c r="Q7" s="31">
        <f t="shared" si="6"/>
        <v>0.0115900908324865</v>
      </c>
      <c r="R7" s="31">
        <f t="shared" si="7"/>
        <v>0.0118130833883691</v>
      </c>
      <c r="S7" s="31">
        <f t="shared" si="8"/>
        <v>0.0116977342820877</v>
      </c>
      <c r="T7" s="31">
        <f t="shared" si="9"/>
        <v>0.0114478414742448</v>
      </c>
      <c r="U7" s="30">
        <f t="shared" si="10"/>
        <v>153997.74</v>
      </c>
      <c r="V7" s="30">
        <f t="shared" si="11"/>
        <v>0.15399774</v>
      </c>
    </row>
    <row r="8" customHeight="1" spans="1:26">
      <c r="A8" s="29" t="s">
        <v>90</v>
      </c>
      <c r="B8" s="30">
        <f>SUMIFS(BSP_CORRIDORS!$D:$D,BSP_CORRIDORS!$A:$A,B$3,BSP_CORRIDORS!$C:$C,$A8)</f>
        <v>762304</v>
      </c>
      <c r="C8" s="30">
        <f>SUMIFS(BSP_CORRIDORS!$D:$D,BSP_CORRIDORS!$A:$A,C$3,BSP_CORRIDORS!$C:$C,$A8)</f>
        <v>585962</v>
      </c>
      <c r="D8" s="30">
        <f>SUMIFS(BSP_CORRIDORS!$D:$D,BSP_CORRIDORS!$A:$A,D$3,BSP_CORRIDORS!$C:$C,$A8)</f>
        <v>609108</v>
      </c>
      <c r="E8" s="30">
        <f>SUMIFS(BSP_CORRIDORS!$D:$D,BSP_CORRIDORS!$A:$A,E$3,BSP_CORRIDORS!$C:$C,$A8)</f>
        <v>592543</v>
      </c>
      <c r="F8" s="30">
        <f>SUMIFS(BSP_CORRIDORS!$D:$D,BSP_CORRIDORS!$A:$A,F$3,BSP_CORRIDORS!$C:$C,$A8)</f>
        <v>607552</v>
      </c>
      <c r="G8" s="30">
        <f>SUMIFS(BSP_CORRIDORS!$D:$D,BSP_CORRIDORS!$A:$A,G$3,BSP_CORRIDORS!$C:$C,$A8)</f>
        <v>622561</v>
      </c>
      <c r="H8" s="30">
        <f t="shared" si="0"/>
        <v>3780030</v>
      </c>
      <c r="I8" s="31">
        <f t="shared" si="1"/>
        <v>-0.0396915673884374</v>
      </c>
      <c r="J8" s="31">
        <f t="shared" ref="J8:M8" si="15">IF(B8=0,"N/A",(C8-B8)/B8)</f>
        <v>-0.231327659306523</v>
      </c>
      <c r="K8" s="31">
        <f t="shared" si="15"/>
        <v>0.0395008550042494</v>
      </c>
      <c r="L8" s="31">
        <f t="shared" si="15"/>
        <v>-0.0271955055589485</v>
      </c>
      <c r="M8" s="31">
        <f t="shared" si="15"/>
        <v>0.0253298072882474</v>
      </c>
      <c r="N8" s="31">
        <f t="shared" si="3"/>
        <v>0.0247040582534499</v>
      </c>
      <c r="O8" s="31">
        <f t="shared" si="4"/>
        <v>0.0252977270992556</v>
      </c>
      <c r="P8" s="31">
        <f t="shared" si="5"/>
        <v>0.0195952574529008</v>
      </c>
      <c r="Q8" s="31">
        <f t="shared" si="6"/>
        <v>0.0193874684436571</v>
      </c>
      <c r="R8" s="31">
        <f t="shared" si="7"/>
        <v>0.0182099993761415</v>
      </c>
      <c r="S8" s="31">
        <f t="shared" si="8"/>
        <v>0.0181407921487997</v>
      </c>
      <c r="T8" s="31">
        <f t="shared" si="9"/>
        <v>0.0180491094093878</v>
      </c>
      <c r="U8" s="30">
        <f t="shared" si="10"/>
        <v>242798.79</v>
      </c>
      <c r="V8" s="30">
        <f t="shared" si="11"/>
        <v>0.24279879</v>
      </c>
    </row>
    <row r="9" customHeight="1" spans="1:26">
      <c r="A9" s="29" t="s">
        <v>33</v>
      </c>
      <c r="B9" s="30">
        <f>SUMIFS(BSP_CORRIDORS!$D:$D,BSP_CORRIDORS!$A:$A,B$3,BSP_CORRIDORS!$C:$C,$A9)</f>
        <v>152742</v>
      </c>
      <c r="C9" s="30">
        <f>SUMIFS(BSP_CORRIDORS!$D:$D,BSP_CORRIDORS!$A:$A,C$3,BSP_CORRIDORS!$C:$C,$A9)</f>
        <v>227187</v>
      </c>
      <c r="D9" s="30">
        <f>SUMIFS(BSP_CORRIDORS!$D:$D,BSP_CORRIDORS!$A:$A,D$3,BSP_CORRIDORS!$C:$C,$A9)</f>
        <v>296023</v>
      </c>
      <c r="E9" s="30">
        <f>SUMIFS(BSP_CORRIDORS!$D:$D,BSP_CORRIDORS!$A:$A,E$3,BSP_CORRIDORS!$C:$C,$A9)</f>
        <v>289307</v>
      </c>
      <c r="F9" s="30">
        <f>SUMIFS(BSP_CORRIDORS!$D:$D,BSP_CORRIDORS!$A:$A,F$3,BSP_CORRIDORS!$C:$C,$A9)</f>
        <v>296638</v>
      </c>
      <c r="G9" s="30">
        <f>SUMIFS(BSP_CORRIDORS!$D:$D,BSP_CORRIDORS!$A:$A,G$3,BSP_CORRIDORS!$C:$C,$A9)</f>
        <v>302922</v>
      </c>
      <c r="H9" s="30">
        <f t="shared" si="0"/>
        <v>1564819</v>
      </c>
      <c r="I9" s="31">
        <f t="shared" si="1"/>
        <v>0.146765102941433</v>
      </c>
      <c r="J9" s="31">
        <f t="shared" ref="J9:M9" si="16">IF(B9=0,"N/A",(C9-B9)/B9)</f>
        <v>0.4873905016302</v>
      </c>
      <c r="K9" s="31">
        <f t="shared" si="16"/>
        <v>0.302992688842231</v>
      </c>
      <c r="L9" s="31">
        <f t="shared" si="16"/>
        <v>-0.0226874263148472</v>
      </c>
      <c r="M9" s="31">
        <f t="shared" si="16"/>
        <v>0.0253398638816206</v>
      </c>
      <c r="N9" s="31">
        <f t="shared" si="3"/>
        <v>0.0211840694718816</v>
      </c>
      <c r="O9" s="31">
        <f t="shared" si="4"/>
        <v>0.00506887728858107</v>
      </c>
      <c r="P9" s="31">
        <f t="shared" si="5"/>
        <v>0.00759740009582903</v>
      </c>
      <c r="Q9" s="31">
        <f t="shared" si="6"/>
        <v>0.00942219864309237</v>
      </c>
      <c r="R9" s="31">
        <f t="shared" si="7"/>
        <v>0.00889096705135892</v>
      </c>
      <c r="S9" s="31">
        <f t="shared" si="8"/>
        <v>0.00885726374275065</v>
      </c>
      <c r="T9" s="31">
        <f t="shared" si="9"/>
        <v>0.00878222747732442</v>
      </c>
      <c r="U9" s="30">
        <f t="shared" si="10"/>
        <v>118139.58</v>
      </c>
      <c r="V9" s="30">
        <f t="shared" si="11"/>
        <v>0.11813958</v>
      </c>
    </row>
    <row r="10" customHeight="1" spans="1:26">
      <c r="A10" s="29" t="s">
        <v>91</v>
      </c>
      <c r="B10" s="30">
        <f>SUMIFS(BSP_CORRIDORS!$D:$D,BSP_CORRIDORS!$A:$A,B$3,BSP_CORRIDORS!$C:$C,$A10)</f>
        <v>801749</v>
      </c>
      <c r="C10" s="30">
        <f>SUMIFS(BSP_CORRIDORS!$D:$D,BSP_CORRIDORS!$A:$A,C$3,BSP_CORRIDORS!$C:$C,$A10)</f>
        <v>821160</v>
      </c>
      <c r="D10" s="30">
        <f>SUMIFS(BSP_CORRIDORS!$D:$D,BSP_CORRIDORS!$A:$A,D$3,BSP_CORRIDORS!$C:$C,$A10)</f>
        <v>722229</v>
      </c>
      <c r="E10" s="30">
        <f>SUMIFS(BSP_CORRIDORS!$D:$D,BSP_CORRIDORS!$A:$A,E$3,BSP_CORRIDORS!$C:$C,$A10)</f>
        <v>732360</v>
      </c>
      <c r="F10" s="30">
        <f>SUMIFS(BSP_CORRIDORS!$D:$D,BSP_CORRIDORS!$A:$A,F$3,BSP_CORRIDORS!$C:$C,$A10)</f>
        <v>764302</v>
      </c>
      <c r="G10" s="30">
        <f>SUMIFS(BSP_CORRIDORS!$D:$D,BSP_CORRIDORS!$A:$A,G$3,BSP_CORRIDORS!$C:$C,$A10)</f>
        <v>801831</v>
      </c>
      <c r="H10" s="30">
        <f t="shared" si="0"/>
        <v>4643631</v>
      </c>
      <c r="I10" s="31">
        <f t="shared" si="1"/>
        <v>2.04544428592524e-5</v>
      </c>
      <c r="J10" s="31">
        <f t="shared" ref="J10:M10" si="17">IF(B10=0,"N/A",(C10-B10)/B10)</f>
        <v>0.0242108190967497</v>
      </c>
      <c r="K10" s="31">
        <f t="shared" si="17"/>
        <v>-0.120477129913781</v>
      </c>
      <c r="L10" s="31">
        <f t="shared" si="17"/>
        <v>0.0140274068197206</v>
      </c>
      <c r="M10" s="31">
        <f t="shared" si="17"/>
        <v>0.0436151619422142</v>
      </c>
      <c r="N10" s="31">
        <f t="shared" si="3"/>
        <v>0.0491023181935936</v>
      </c>
      <c r="O10" s="31">
        <f t="shared" si="4"/>
        <v>0.0266067440340089</v>
      </c>
      <c r="P10" s="31">
        <f t="shared" si="5"/>
        <v>0.0274605547971097</v>
      </c>
      <c r="Q10" s="31">
        <f t="shared" si="6"/>
        <v>0.0229880283079422</v>
      </c>
      <c r="R10" s="31">
        <f t="shared" si="7"/>
        <v>0.0225068478458289</v>
      </c>
      <c r="S10" s="31">
        <f t="shared" si="8"/>
        <v>0.0228211638195774</v>
      </c>
      <c r="T10" s="31">
        <f t="shared" si="9"/>
        <v>0.0232464536757664</v>
      </c>
      <c r="U10" s="30">
        <f t="shared" si="10"/>
        <v>312714.09</v>
      </c>
      <c r="V10" s="30">
        <f t="shared" si="11"/>
        <v>0.31271409</v>
      </c>
    </row>
    <row r="11" customHeight="1" spans="1:26">
      <c r="A11" s="29" t="s">
        <v>92</v>
      </c>
      <c r="B11" s="30">
        <f>SUMIFS(BSP_CORRIDORS!$D:$D,BSP_CORRIDORS!$A:$A,B$3,BSP_CORRIDORS!$C:$C,$A11)</f>
        <v>0</v>
      </c>
      <c r="C11" s="30">
        <f>SUMIFS(BSP_CORRIDORS!$D:$D,BSP_CORRIDORS!$A:$A,C$3,BSP_CORRIDORS!$C:$C,$A11)</f>
        <v>0</v>
      </c>
      <c r="D11" s="30">
        <f>SUMIFS(BSP_CORRIDORS!$D:$D,BSP_CORRIDORS!$A:$A,D$3,BSP_CORRIDORS!$C:$C,$A11)</f>
        <v>119837</v>
      </c>
      <c r="E11" s="30">
        <f>SUMIFS(BSP_CORRIDORS!$D:$D,BSP_CORRIDORS!$A:$A,E$3,BSP_CORRIDORS!$C:$C,$A11)</f>
        <v>110602</v>
      </c>
      <c r="F11" s="30">
        <f>SUMIFS(BSP_CORRIDORS!$D:$D,BSP_CORRIDORS!$A:$A,F$3,BSP_CORRIDORS!$C:$C,$A11)</f>
        <v>109136</v>
      </c>
      <c r="G11" s="30">
        <f>SUMIFS(BSP_CORRIDORS!$D:$D,BSP_CORRIDORS!$A:$A,G$3,BSP_CORRIDORS!$C:$C,$A11)</f>
        <v>106411</v>
      </c>
      <c r="H11" s="30">
        <f t="shared" si="0"/>
        <v>445986</v>
      </c>
      <c r="I11" s="31" t="str">
        <f t="shared" si="1"/>
        <v>N/A</v>
      </c>
      <c r="J11" s="31" t="str">
        <f t="shared" ref="J11:M11" si="18">IF(B11=0,"N/A",(C11-B11)/B11)</f>
        <v>N/A</v>
      </c>
      <c r="K11" s="31" t="str">
        <f t="shared" si="18"/>
        <v>N/A</v>
      </c>
      <c r="L11" s="31">
        <f t="shared" si="18"/>
        <v>-0.0770630105893839</v>
      </c>
      <c r="M11" s="31">
        <f t="shared" si="18"/>
        <v>-0.013254733187465</v>
      </c>
      <c r="N11" s="31">
        <f t="shared" si="3"/>
        <v>-0.0249688462102331</v>
      </c>
      <c r="O11" s="31" t="str">
        <f t="shared" si="4"/>
        <v>N/A</v>
      </c>
      <c r="P11" s="31" t="str">
        <f t="shared" si="5"/>
        <v>N/A</v>
      </c>
      <c r="Q11" s="31">
        <f t="shared" si="6"/>
        <v>0.00381432530172406</v>
      </c>
      <c r="R11" s="31">
        <f t="shared" si="7"/>
        <v>0.0033990146723529</v>
      </c>
      <c r="S11" s="31">
        <f t="shared" si="8"/>
        <v>0.00325867331841785</v>
      </c>
      <c r="T11" s="31">
        <f t="shared" si="9"/>
        <v>0.00308503709895474</v>
      </c>
      <c r="U11" s="30">
        <f t="shared" si="10"/>
        <v>41500.29</v>
      </c>
      <c r="V11" s="30">
        <f t="shared" si="11"/>
        <v>0.04150029</v>
      </c>
    </row>
    <row r="12" customHeight="1" spans="1:26">
      <c r="A12" s="29" t="s">
        <v>93</v>
      </c>
      <c r="B12" s="30">
        <f>SUMIFS(BSP_CORRIDORS!$D:$D,BSP_CORRIDORS!$A:$A,B$3,BSP_CORRIDORS!$C:$C,$A12)</f>
        <v>217405</v>
      </c>
      <c r="C12" s="30">
        <f>SUMIFS(BSP_CORRIDORS!$D:$D,BSP_CORRIDORS!$A:$A,C$3,BSP_CORRIDORS!$C:$C,$A12)</f>
        <v>179367</v>
      </c>
      <c r="D12" s="30">
        <f>SUMIFS(BSP_CORRIDORS!$D:$D,BSP_CORRIDORS!$A:$A,D$3,BSP_CORRIDORS!$C:$C,$A12)</f>
        <v>164366</v>
      </c>
      <c r="E12" s="30">
        <f>SUMIFS(BSP_CORRIDORS!$D:$D,BSP_CORRIDORS!$A:$A,E$3,BSP_CORRIDORS!$C:$C,$A12)</f>
        <v>151525</v>
      </c>
      <c r="F12" s="30">
        <f>SUMIFS(BSP_CORRIDORS!$D:$D,BSP_CORRIDORS!$A:$A,F$3,BSP_CORRIDORS!$C:$C,$A12)</f>
        <v>154189</v>
      </c>
      <c r="G12" s="30">
        <f>SUMIFS(BSP_CORRIDORS!$D:$D,BSP_CORRIDORS!$A:$A,G$3,BSP_CORRIDORS!$C:$C,$A12)</f>
        <v>155782</v>
      </c>
      <c r="H12" s="30">
        <f t="shared" si="0"/>
        <v>1022634</v>
      </c>
      <c r="I12" s="31">
        <f t="shared" si="1"/>
        <v>-0.0644875976453014</v>
      </c>
      <c r="J12" s="31">
        <f t="shared" ref="J12:M12" si="19">IF(B12=0,"N/A",(C12-B12)/B12)</f>
        <v>-0.174963777282031</v>
      </c>
      <c r="K12" s="31">
        <f t="shared" si="19"/>
        <v>-0.0836329982661248</v>
      </c>
      <c r="L12" s="31">
        <f t="shared" si="19"/>
        <v>-0.0781244296265651</v>
      </c>
      <c r="M12" s="31">
        <f t="shared" si="19"/>
        <v>0.0175812572182808</v>
      </c>
      <c r="N12" s="31">
        <f t="shared" si="3"/>
        <v>0.0103314763050542</v>
      </c>
      <c r="O12" s="31">
        <f t="shared" si="4"/>
        <v>0.00721477568006159</v>
      </c>
      <c r="P12" s="31">
        <f t="shared" si="5"/>
        <v>0.00599824313446001</v>
      </c>
      <c r="Q12" s="31">
        <f t="shared" si="6"/>
        <v>0.00523165126416029</v>
      </c>
      <c r="R12" s="31">
        <f t="shared" si="7"/>
        <v>0.00465665809142938</v>
      </c>
      <c r="S12" s="31">
        <f t="shared" si="8"/>
        <v>0.0046039032060322</v>
      </c>
      <c r="T12" s="31">
        <f t="shared" si="9"/>
        <v>0.00451638692756734</v>
      </c>
      <c r="U12" s="30">
        <f t="shared" si="10"/>
        <v>60754.98</v>
      </c>
      <c r="V12" s="30">
        <f t="shared" si="11"/>
        <v>0.06075498</v>
      </c>
    </row>
    <row r="13" customHeight="1" spans="1:26">
      <c r="A13" s="29" t="s">
        <v>20</v>
      </c>
      <c r="B13" s="30">
        <f>SUMIFS(BSP_CORRIDORS!$D:$D,BSP_CORRIDORS!$A:$A,B$3,BSP_CORRIDORS!$C:$C,$A13)</f>
        <v>1795383</v>
      </c>
      <c r="C13" s="30">
        <f>SUMIFS(BSP_CORRIDORS!$D:$D,BSP_CORRIDORS!$A:$A,C$3,BSP_CORRIDORS!$C:$C,$A13)</f>
        <v>1576557</v>
      </c>
      <c r="D13" s="30">
        <f>SUMIFS(BSP_CORRIDORS!$D:$D,BSP_CORRIDORS!$A:$A,D$3,BSP_CORRIDORS!$C:$C,$A13)</f>
        <v>1611196</v>
      </c>
      <c r="E13" s="30">
        <f>SUMIFS(BSP_CORRIDORS!$D:$D,BSP_CORRIDORS!$A:$A,E$3,BSP_CORRIDORS!$C:$C,$A13)</f>
        <v>1644737</v>
      </c>
      <c r="F13" s="30">
        <f>SUMIFS(BSP_CORRIDORS!$D:$D,BSP_CORRIDORS!$A:$A,F$3,BSP_CORRIDORS!$C:$C,$A13)</f>
        <v>1684930</v>
      </c>
      <c r="G13" s="30">
        <f>SUMIFS(BSP_CORRIDORS!$D:$D,BSP_CORRIDORS!$A:$A,G$3,BSP_CORRIDORS!$C:$C,$A13)</f>
        <v>1706720</v>
      </c>
      <c r="H13" s="30">
        <f t="shared" si="0"/>
        <v>10019523</v>
      </c>
      <c r="I13" s="31">
        <f t="shared" si="1"/>
        <v>-0.0100778684546846</v>
      </c>
      <c r="J13" s="31">
        <f t="shared" ref="J13:M13" si="20">IF(B13=0,"N/A",(C13-B13)/B13)</f>
        <v>-0.121882628943239</v>
      </c>
      <c r="K13" s="31">
        <f t="shared" si="20"/>
        <v>0.02197129567786</v>
      </c>
      <c r="L13" s="31">
        <f t="shared" si="20"/>
        <v>0.0208174548596198</v>
      </c>
      <c r="M13" s="31">
        <f t="shared" si="20"/>
        <v>0.0244373416540152</v>
      </c>
      <c r="N13" s="31">
        <f t="shared" si="3"/>
        <v>0.012932287988225</v>
      </c>
      <c r="O13" s="31">
        <f t="shared" si="4"/>
        <v>0.0595813601563719</v>
      </c>
      <c r="P13" s="31">
        <f t="shared" si="5"/>
        <v>0.0527219176400055</v>
      </c>
      <c r="Q13" s="31">
        <f t="shared" si="6"/>
        <v>0.0512832069297178</v>
      </c>
      <c r="R13" s="31">
        <f t="shared" si="7"/>
        <v>0.0505459683835888</v>
      </c>
      <c r="S13" s="31">
        <f t="shared" si="8"/>
        <v>0.0503100391658279</v>
      </c>
      <c r="T13" s="31">
        <f t="shared" si="9"/>
        <v>0.0494807352391016</v>
      </c>
      <c r="U13" s="30">
        <f t="shared" si="10"/>
        <v>665620.8</v>
      </c>
      <c r="V13" s="30">
        <f t="shared" si="11"/>
        <v>0.6656208</v>
      </c>
    </row>
    <row r="14" customHeight="1" spans="1:26">
      <c r="A14" s="29" t="s">
        <v>94</v>
      </c>
      <c r="B14" s="30">
        <f>SUMIFS(BSP_CORRIDORS!$D:$D,BSP_CORRIDORS!$A:$A,B$3,BSP_CORRIDORS!$C:$C,$A14)</f>
        <v>683211</v>
      </c>
      <c r="C14" s="30">
        <f>SUMIFS(BSP_CORRIDORS!$D:$D,BSP_CORRIDORS!$A:$A,C$3,BSP_CORRIDORS!$C:$C,$A14)</f>
        <v>707635</v>
      </c>
      <c r="D14" s="30">
        <f>SUMIFS(BSP_CORRIDORS!$D:$D,BSP_CORRIDORS!$A:$A,D$3,BSP_CORRIDORS!$C:$C,$A14)</f>
        <v>788166</v>
      </c>
      <c r="E14" s="30">
        <f>SUMIFS(BSP_CORRIDORS!$D:$D,BSP_CORRIDORS!$A:$A,E$3,BSP_CORRIDORS!$C:$C,$A14)</f>
        <v>811729</v>
      </c>
      <c r="F14" s="30">
        <f>SUMIFS(BSP_CORRIDORS!$D:$D,BSP_CORRIDORS!$A:$A,F$3,BSP_CORRIDORS!$C:$C,$A14)</f>
        <v>834749</v>
      </c>
      <c r="G14" s="30">
        <f>SUMIFS(BSP_CORRIDORS!$D:$D,BSP_CORRIDORS!$A:$A,G$3,BSP_CORRIDORS!$C:$C,$A14)</f>
        <v>853749</v>
      </c>
      <c r="H14" s="30">
        <f t="shared" si="0"/>
        <v>4679239</v>
      </c>
      <c r="I14" s="31">
        <f t="shared" si="1"/>
        <v>0.0455747134933127</v>
      </c>
      <c r="J14" s="31">
        <f t="shared" ref="J14:M14" si="21">IF(B14=0,"N/A",(C14-B14)/B14)</f>
        <v>0.0357488389384831</v>
      </c>
      <c r="K14" s="31">
        <f t="shared" si="21"/>
        <v>0.113803019918461</v>
      </c>
      <c r="L14" s="31">
        <f t="shared" si="21"/>
        <v>0.029895986378504</v>
      </c>
      <c r="M14" s="31">
        <f t="shared" si="21"/>
        <v>0.0283592184090996</v>
      </c>
      <c r="N14" s="31">
        <f t="shared" si="3"/>
        <v>0.022761333047419</v>
      </c>
      <c r="O14" s="31">
        <f t="shared" si="4"/>
        <v>0.0226729564966333</v>
      </c>
      <c r="P14" s="31">
        <f t="shared" si="5"/>
        <v>0.0236641454696438</v>
      </c>
      <c r="Q14" s="31">
        <f t="shared" si="6"/>
        <v>0.0250867554741745</v>
      </c>
      <c r="R14" s="31">
        <f t="shared" si="7"/>
        <v>0.0249460116541685</v>
      </c>
      <c r="S14" s="31">
        <f t="shared" si="8"/>
        <v>0.024924628847273</v>
      </c>
      <c r="T14" s="31">
        <f t="shared" si="9"/>
        <v>0.0247516453956406</v>
      </c>
      <c r="U14" s="30">
        <f t="shared" si="10"/>
        <v>332962.11</v>
      </c>
      <c r="V14" s="30">
        <f t="shared" si="11"/>
        <v>0.33296211</v>
      </c>
    </row>
    <row r="15" customHeight="1" spans="1:26">
      <c r="A15" s="29" t="s">
        <v>95</v>
      </c>
      <c r="B15" s="30">
        <f>SUMIFS(BSP_CORRIDORS!$D:$D,BSP_CORRIDORS!$A:$A,B$3,BSP_CORRIDORS!$C:$C,$A15)</f>
        <v>759081</v>
      </c>
      <c r="C15" s="30">
        <f>SUMIFS(BSP_CORRIDORS!$D:$D,BSP_CORRIDORS!$A:$A,C$3,BSP_CORRIDORS!$C:$C,$A15)</f>
        <v>580625</v>
      </c>
      <c r="D15" s="30">
        <f>SUMIFS(BSP_CORRIDORS!$D:$D,BSP_CORRIDORS!$A:$A,D$3,BSP_CORRIDORS!$C:$C,$A15)</f>
        <v>576059</v>
      </c>
      <c r="E15" s="30">
        <f>SUMIFS(BSP_CORRIDORS!$D:$D,BSP_CORRIDORS!$A:$A,E$3,BSP_CORRIDORS!$C:$C,$A15)</f>
        <v>597186</v>
      </c>
      <c r="F15" s="30">
        <f>SUMIFS(BSP_CORRIDORS!$D:$D,BSP_CORRIDORS!$A:$A,F$3,BSP_CORRIDORS!$C:$C,$A15)</f>
        <v>585172</v>
      </c>
      <c r="G15" s="30">
        <f>SUMIFS(BSP_CORRIDORS!$D:$D,BSP_CORRIDORS!$A:$A,G$3,BSP_CORRIDORS!$C:$C,$A15)</f>
        <v>587166</v>
      </c>
      <c r="H15" s="30">
        <f t="shared" si="0"/>
        <v>3685289</v>
      </c>
      <c r="I15" s="31">
        <f t="shared" si="1"/>
        <v>-0.0500635425036366</v>
      </c>
      <c r="J15" s="31">
        <f t="shared" ref="J15:M15" si="22">IF(B15=0,"N/A",(C15-B15)/B15)</f>
        <v>-0.235094805429197</v>
      </c>
      <c r="K15" s="31">
        <f t="shared" si="22"/>
        <v>-0.00786393972012917</v>
      </c>
      <c r="L15" s="31">
        <f t="shared" si="22"/>
        <v>0.0366750627973871</v>
      </c>
      <c r="M15" s="31">
        <f t="shared" si="22"/>
        <v>-0.0201176852772838</v>
      </c>
      <c r="N15" s="31">
        <f t="shared" si="3"/>
        <v>0.00340754513202956</v>
      </c>
      <c r="O15" s="31">
        <f t="shared" si="4"/>
        <v>0.0251907690163374</v>
      </c>
      <c r="P15" s="31">
        <f t="shared" si="5"/>
        <v>0.0194167819049538</v>
      </c>
      <c r="Q15" s="31">
        <f t="shared" si="6"/>
        <v>0.0183355426035854</v>
      </c>
      <c r="R15" s="31">
        <f t="shared" si="7"/>
        <v>0.0183526878006161</v>
      </c>
      <c r="S15" s="31">
        <f t="shared" si="8"/>
        <v>0.0174725515236513</v>
      </c>
      <c r="T15" s="31">
        <f t="shared" si="9"/>
        <v>0.0170229477520638</v>
      </c>
      <c r="U15" s="30">
        <f t="shared" si="10"/>
        <v>228994.74</v>
      </c>
      <c r="V15" s="30">
        <f t="shared" si="11"/>
        <v>0.22899474</v>
      </c>
    </row>
    <row r="16" customHeight="1" spans="1:26">
      <c r="A16" s="29" t="s">
        <v>96</v>
      </c>
      <c r="B16" s="30">
        <f>SUMIFS(BSP_CORRIDORS!$D:$D,BSP_CORRIDORS!$A:$A,B$3,BSP_CORRIDORS!$C:$C,$A16)</f>
        <v>0</v>
      </c>
      <c r="C16" s="30">
        <f>SUMIFS(BSP_CORRIDORS!$D:$D,BSP_CORRIDORS!$A:$A,C$3,BSP_CORRIDORS!$C:$C,$A16)</f>
        <v>140610</v>
      </c>
      <c r="D16" s="30">
        <f>SUMIFS(BSP_CORRIDORS!$D:$D,BSP_CORRIDORS!$A:$A,D$3,BSP_CORRIDORS!$C:$C,$A16)</f>
        <v>154652</v>
      </c>
      <c r="E16" s="30">
        <f>SUMIFS(BSP_CORRIDORS!$D:$D,BSP_CORRIDORS!$A:$A,E$3,BSP_CORRIDORS!$C:$C,$A16)</f>
        <v>166276</v>
      </c>
      <c r="F16" s="30">
        <f>SUMIFS(BSP_CORRIDORS!$D:$D,BSP_CORRIDORS!$A:$A,F$3,BSP_CORRIDORS!$C:$C,$A16)</f>
        <v>171315</v>
      </c>
      <c r="G16" s="30">
        <f>SUMIFS(BSP_CORRIDORS!$D:$D,BSP_CORRIDORS!$A:$A,G$3,BSP_CORRIDORS!$C:$C,$A16)</f>
        <v>176320</v>
      </c>
      <c r="H16" s="30">
        <f t="shared" si="0"/>
        <v>809173</v>
      </c>
      <c r="I16" s="31" t="str">
        <f t="shared" si="1"/>
        <v>N/A</v>
      </c>
      <c r="J16" s="31" t="str">
        <f t="shared" ref="J16:M16" si="23">IF(B16=0,"N/A",(C16-B16)/B16)</f>
        <v>N/A</v>
      </c>
      <c r="K16" s="31">
        <f t="shared" si="23"/>
        <v>0.0998648744754996</v>
      </c>
      <c r="L16" s="31">
        <f t="shared" si="23"/>
        <v>0.0751622998732638</v>
      </c>
      <c r="M16" s="31">
        <f t="shared" si="23"/>
        <v>0.0303050350020448</v>
      </c>
      <c r="N16" s="31">
        <f t="shared" si="3"/>
        <v>0.0292151883956455</v>
      </c>
      <c r="O16" s="31" t="str">
        <f t="shared" si="4"/>
        <v>N/A</v>
      </c>
      <c r="P16" s="31">
        <f t="shared" si="5"/>
        <v>0.00470216353697403</v>
      </c>
      <c r="Q16" s="31">
        <f t="shared" si="6"/>
        <v>0.00492246164842435</v>
      </c>
      <c r="R16" s="31">
        <f t="shared" si="7"/>
        <v>0.0051099850243228</v>
      </c>
      <c r="S16" s="31">
        <f t="shared" si="8"/>
        <v>0.00511526553607201</v>
      </c>
      <c r="T16" s="31">
        <f t="shared" si="9"/>
        <v>0.00511181871505484</v>
      </c>
      <c r="U16" s="30">
        <f t="shared" si="10"/>
        <v>68764.8</v>
      </c>
      <c r="V16" s="30">
        <f t="shared" si="11"/>
        <v>0.0687648</v>
      </c>
    </row>
    <row r="17" customHeight="1" spans="1:22">
      <c r="A17" s="29" t="s">
        <v>39</v>
      </c>
      <c r="B17" s="30">
        <f>SUMIFS(BSP_CORRIDORS!$D:$D,BSP_CORRIDORS!$A:$A,B$3,BSP_CORRIDORS!$C:$C,$A17)</f>
        <v>466775</v>
      </c>
      <c r="C17" s="30">
        <f>SUMIFS(BSP_CORRIDORS!$D:$D,BSP_CORRIDORS!$A:$A,C$3,BSP_CORRIDORS!$C:$C,$A17)</f>
        <v>481893</v>
      </c>
      <c r="D17" s="30">
        <f>SUMIFS(BSP_CORRIDORS!$D:$D,BSP_CORRIDORS!$A:$A,D$3,BSP_CORRIDORS!$C:$C,$A17)</f>
        <v>618216</v>
      </c>
      <c r="E17" s="30">
        <f>SUMIFS(BSP_CORRIDORS!$D:$D,BSP_CORRIDORS!$A:$A,E$3,BSP_CORRIDORS!$C:$C,$A17)</f>
        <v>633885</v>
      </c>
      <c r="F17" s="30">
        <f>SUMIFS(BSP_CORRIDORS!$D:$D,BSP_CORRIDORS!$A:$A,F$3,BSP_CORRIDORS!$C:$C,$A17)</f>
        <v>650600</v>
      </c>
      <c r="G17" s="30">
        <f>SUMIFS(BSP_CORRIDORS!$D:$D,BSP_CORRIDORS!$A:$A,G$3,BSP_CORRIDORS!$C:$C,$A17)</f>
        <v>661182</v>
      </c>
      <c r="H17" s="30">
        <f t="shared" si="0"/>
        <v>3512551</v>
      </c>
      <c r="I17" s="31">
        <f t="shared" si="1"/>
        <v>0.0721182451732325</v>
      </c>
      <c r="J17" s="31">
        <f t="shared" ref="J17:M17" si="24">IF(B17=0,"N/A",(C17-B17)/B17)</f>
        <v>0.0323881955974506</v>
      </c>
      <c r="K17" s="31">
        <f t="shared" si="24"/>
        <v>0.282890600195479</v>
      </c>
      <c r="L17" s="31">
        <f t="shared" si="24"/>
        <v>0.0253455103070771</v>
      </c>
      <c r="M17" s="31">
        <f t="shared" si="24"/>
        <v>0.0263691363575412</v>
      </c>
      <c r="N17" s="31">
        <f t="shared" si="3"/>
        <v>0.0162649861666154</v>
      </c>
      <c r="O17" s="31">
        <f t="shared" si="4"/>
        <v>0.0154903379317897</v>
      </c>
      <c r="P17" s="31">
        <f t="shared" si="5"/>
        <v>0.01611506787087</v>
      </c>
      <c r="Q17" s="31">
        <f t="shared" si="6"/>
        <v>0.0196773695163484</v>
      </c>
      <c r="R17" s="31">
        <f t="shared" si="7"/>
        <v>0.0194805194805195</v>
      </c>
      <c r="S17" s="31">
        <f t="shared" si="8"/>
        <v>0.0194261550813907</v>
      </c>
      <c r="T17" s="31">
        <f t="shared" si="9"/>
        <v>0.019168798330634</v>
      </c>
      <c r="U17" s="30">
        <f t="shared" si="10"/>
        <v>257860.98</v>
      </c>
      <c r="V17" s="30">
        <f t="shared" si="11"/>
        <v>0.25786098</v>
      </c>
    </row>
    <row r="18" customHeight="1" spans="1:22">
      <c r="A18" s="29" t="s">
        <v>97</v>
      </c>
      <c r="B18" s="30">
        <f>SUMIFS(BSP_CORRIDORS!$D:$D,BSP_CORRIDORS!$A:$A,B$3,BSP_CORRIDORS!$C:$C,$A18)</f>
        <v>0</v>
      </c>
      <c r="C18" s="30">
        <f>SUMIFS(BSP_CORRIDORS!$D:$D,BSP_CORRIDORS!$A:$A,C$3,BSP_CORRIDORS!$C:$C,$A18)</f>
        <v>216207</v>
      </c>
      <c r="D18" s="30">
        <f>SUMIFS(BSP_CORRIDORS!$D:$D,BSP_CORRIDORS!$A:$A,D$3,BSP_CORRIDORS!$C:$C,$A18)</f>
        <v>272154</v>
      </c>
      <c r="E18" s="30">
        <f>SUMIFS(BSP_CORRIDORS!$D:$D,BSP_CORRIDORS!$A:$A,E$3,BSP_CORRIDORS!$C:$C,$A18)</f>
        <v>287844</v>
      </c>
      <c r="F18" s="30">
        <f>SUMIFS(BSP_CORRIDORS!$D:$D,BSP_CORRIDORS!$A:$A,F$3,BSP_CORRIDORS!$C:$C,$A18)</f>
        <v>294667</v>
      </c>
      <c r="G18" s="30">
        <f>SUMIFS(BSP_CORRIDORS!$D:$D,BSP_CORRIDORS!$A:$A,G$3,BSP_CORRIDORS!$C:$C,$A18)</f>
        <v>305231</v>
      </c>
      <c r="H18" s="30">
        <f t="shared" si="0"/>
        <v>1376103</v>
      </c>
      <c r="I18" s="31" t="str">
        <f t="shared" si="1"/>
        <v>N/A</v>
      </c>
      <c r="J18" s="31" t="str">
        <f t="shared" ref="J18:M18" si="25">IF(B18=0,"N/A",(C18-B18)/B18)</f>
        <v>N/A</v>
      </c>
      <c r="K18" s="31">
        <f t="shared" si="25"/>
        <v>0.258765904896696</v>
      </c>
      <c r="L18" s="31">
        <f t="shared" si="25"/>
        <v>0.0576511827862166</v>
      </c>
      <c r="M18" s="31">
        <f t="shared" si="25"/>
        <v>0.0237038117869401</v>
      </c>
      <c r="N18" s="31">
        <f t="shared" si="3"/>
        <v>0.0358506381780111</v>
      </c>
      <c r="O18" s="31" t="str">
        <f t="shared" si="4"/>
        <v>N/A</v>
      </c>
      <c r="P18" s="31">
        <f t="shared" si="5"/>
        <v>0.0072302160005586</v>
      </c>
      <c r="Q18" s="31">
        <f t="shared" si="6"/>
        <v>0.0086624655837964</v>
      </c>
      <c r="R18" s="31">
        <f t="shared" si="7"/>
        <v>0.00884600621461409</v>
      </c>
      <c r="S18" s="31">
        <f t="shared" si="8"/>
        <v>0.00879841198796211</v>
      </c>
      <c r="T18" s="31">
        <f t="shared" si="9"/>
        <v>0.00884916934105549</v>
      </c>
      <c r="U18" s="30">
        <f t="shared" si="10"/>
        <v>119040.09</v>
      </c>
      <c r="V18" s="30">
        <f t="shared" si="11"/>
        <v>0.11904009</v>
      </c>
    </row>
    <row r="19" customHeight="1" spans="1:22">
      <c r="A19" s="29" t="s">
        <v>98</v>
      </c>
      <c r="B19" s="30">
        <f>SUMIFS(BSP_CORRIDORS!$D:$D,BSP_CORRIDORS!$A:$A,B$3,BSP_CORRIDORS!$C:$C,$A19)</f>
        <v>322207</v>
      </c>
      <c r="C19" s="30">
        <f>SUMIFS(BSP_CORRIDORS!$D:$D,BSP_CORRIDORS!$A:$A,C$3,BSP_CORRIDORS!$C:$C,$A19)</f>
        <v>184440</v>
      </c>
      <c r="D19" s="30">
        <f>SUMIFS(BSP_CORRIDORS!$D:$D,BSP_CORRIDORS!$A:$A,D$3,BSP_CORRIDORS!$C:$C,$A19)</f>
        <v>176598</v>
      </c>
      <c r="E19" s="30">
        <f>SUMIFS(BSP_CORRIDORS!$D:$D,BSP_CORRIDORS!$A:$A,E$3,BSP_CORRIDORS!$C:$C,$A19)</f>
        <v>175989</v>
      </c>
      <c r="F19" s="30">
        <f>SUMIFS(BSP_CORRIDORS!$D:$D,BSP_CORRIDORS!$A:$A,F$3,BSP_CORRIDORS!$C:$C,$A19)</f>
        <v>179898</v>
      </c>
      <c r="G19" s="30">
        <f>SUMIFS(BSP_CORRIDORS!$D:$D,BSP_CORRIDORS!$A:$A,G$3,BSP_CORRIDORS!$C:$C,$A19)</f>
        <v>183551</v>
      </c>
      <c r="H19" s="30">
        <f t="shared" si="0"/>
        <v>1222683</v>
      </c>
      <c r="I19" s="31">
        <f t="shared" si="1"/>
        <v>-0.106438688820596</v>
      </c>
      <c r="J19" s="31">
        <f t="shared" ref="J19:M19" si="26">IF(B19=0,"N/A",(C19-B19)/B19)</f>
        <v>-0.42757295775697</v>
      </c>
      <c r="K19" s="31">
        <f t="shared" si="26"/>
        <v>-0.0425178919973975</v>
      </c>
      <c r="L19" s="31">
        <f t="shared" si="26"/>
        <v>-0.00344851017565318</v>
      </c>
      <c r="M19" s="31">
        <f t="shared" si="26"/>
        <v>0.0222116154986959</v>
      </c>
      <c r="N19" s="31">
        <f t="shared" si="3"/>
        <v>0.0203059511500962</v>
      </c>
      <c r="O19" s="31">
        <f t="shared" si="4"/>
        <v>0.0106927220052235</v>
      </c>
      <c r="P19" s="31">
        <f t="shared" si="5"/>
        <v>0.00616789021235681</v>
      </c>
      <c r="Q19" s="31">
        <f t="shared" si="6"/>
        <v>0.00562098700429638</v>
      </c>
      <c r="R19" s="31">
        <f t="shared" si="7"/>
        <v>0.00540848441414001</v>
      </c>
      <c r="S19" s="31">
        <f t="shared" si="8"/>
        <v>0.00537154387770062</v>
      </c>
      <c r="T19" s="31">
        <f t="shared" si="9"/>
        <v>0.00532145778679124</v>
      </c>
      <c r="U19" s="30">
        <f t="shared" si="10"/>
        <v>71584.89</v>
      </c>
      <c r="V19" s="30">
        <f t="shared" si="11"/>
        <v>0.07158489</v>
      </c>
    </row>
    <row r="20" customHeight="1" spans="1:22">
      <c r="A20" s="29" t="s">
        <v>99</v>
      </c>
      <c r="B20" s="30">
        <f>SUMIFS(BSP_CORRIDORS!$D:$D,BSP_CORRIDORS!$A:$A,B$3,BSP_CORRIDORS!$C:$C,$A20)</f>
        <v>180265</v>
      </c>
      <c r="C20" s="30">
        <f>SUMIFS(BSP_CORRIDORS!$D:$D,BSP_CORRIDORS!$A:$A,C$3,BSP_CORRIDORS!$C:$C,$A20)</f>
        <v>107468</v>
      </c>
      <c r="D20" s="30">
        <f>SUMIFS(BSP_CORRIDORS!$D:$D,BSP_CORRIDORS!$A:$A,D$3,BSP_CORRIDORS!$C:$C,$A20)</f>
        <v>118037</v>
      </c>
      <c r="E20" s="30">
        <f>SUMIFS(BSP_CORRIDORS!$D:$D,BSP_CORRIDORS!$A:$A,E$3,BSP_CORRIDORS!$C:$C,$A20)</f>
        <v>126194</v>
      </c>
      <c r="F20" s="30">
        <f>SUMIFS(BSP_CORRIDORS!$D:$D,BSP_CORRIDORS!$A:$A,F$3,BSP_CORRIDORS!$C:$C,$A20)</f>
        <v>130960</v>
      </c>
      <c r="G20" s="30">
        <f>SUMIFS(BSP_CORRIDORS!$D:$D,BSP_CORRIDORS!$A:$A,G$3,BSP_CORRIDORS!$C:$C,$A20)</f>
        <v>134883</v>
      </c>
      <c r="H20" s="30">
        <f t="shared" si="0"/>
        <v>797807</v>
      </c>
      <c r="I20" s="31">
        <f t="shared" si="1"/>
        <v>-0.0563538751788581</v>
      </c>
      <c r="J20" s="31">
        <f t="shared" ref="J20:M20" si="27">IF(B20=0,"N/A",(C20-B20)/B20)</f>
        <v>-0.403833245499681</v>
      </c>
      <c r="K20" s="31">
        <f t="shared" si="27"/>
        <v>0.0983455540253843</v>
      </c>
      <c r="L20" s="31">
        <f t="shared" si="27"/>
        <v>0.0691054499860213</v>
      </c>
      <c r="M20" s="31">
        <f t="shared" si="27"/>
        <v>0.0377672472542276</v>
      </c>
      <c r="N20" s="31">
        <f t="shared" si="3"/>
        <v>0.0299557116676848</v>
      </c>
      <c r="O20" s="31">
        <f t="shared" si="4"/>
        <v>0.00598225219275685</v>
      </c>
      <c r="P20" s="31">
        <f t="shared" si="5"/>
        <v>0.00359385613392736</v>
      </c>
      <c r="Q20" s="31">
        <f t="shared" si="6"/>
        <v>0.00375703259961116</v>
      </c>
      <c r="R20" s="31">
        <f t="shared" si="7"/>
        <v>0.00387818717168678</v>
      </c>
      <c r="S20" s="31">
        <f t="shared" si="8"/>
        <v>0.00391031243384403</v>
      </c>
      <c r="T20" s="31">
        <f t="shared" si="9"/>
        <v>0.00391048913193479</v>
      </c>
      <c r="U20" s="30">
        <f t="shared" si="10"/>
        <v>52604.37</v>
      </c>
      <c r="V20" s="30">
        <f t="shared" si="11"/>
        <v>0.05260437</v>
      </c>
    </row>
    <row r="21" customHeight="1" spans="1:22">
      <c r="A21" s="29" t="s">
        <v>100</v>
      </c>
      <c r="B21" s="30">
        <f>SUMIFS(BSP_CORRIDORS!$D:$D,BSP_CORRIDORS!$A:$A,B$3,BSP_CORRIDORS!$C:$C,$A21)</f>
        <v>177854</v>
      </c>
      <c r="C21" s="30">
        <f>SUMIFS(BSP_CORRIDORS!$D:$D,BSP_CORRIDORS!$A:$A,C$3,BSP_CORRIDORS!$C:$C,$A21)</f>
        <v>162508</v>
      </c>
      <c r="D21" s="30">
        <f>SUMIFS(BSP_CORRIDORS!$D:$D,BSP_CORRIDORS!$A:$A,D$3,BSP_CORRIDORS!$C:$C,$A21)</f>
        <v>165800</v>
      </c>
      <c r="E21" s="30">
        <f>SUMIFS(BSP_CORRIDORS!$D:$D,BSP_CORRIDORS!$A:$A,E$3,BSP_CORRIDORS!$C:$C,$A21)</f>
        <v>154114</v>
      </c>
      <c r="F21" s="30">
        <f>SUMIFS(BSP_CORRIDORS!$D:$D,BSP_CORRIDORS!$A:$A,F$3,BSP_CORRIDORS!$C:$C,$A21)</f>
        <v>158182</v>
      </c>
      <c r="G21" s="30">
        <f>SUMIFS(BSP_CORRIDORS!$D:$D,BSP_CORRIDORS!$A:$A,G$3,BSP_CORRIDORS!$C:$C,$A21)</f>
        <v>160151</v>
      </c>
      <c r="H21" s="30">
        <f t="shared" si="0"/>
        <v>978609</v>
      </c>
      <c r="I21" s="31">
        <f t="shared" si="1"/>
        <v>-0.0207508493309415</v>
      </c>
      <c r="J21" s="31">
        <f t="shared" ref="J21:M21" si="28">IF(B21=0,"N/A",(C21-B21)/B21)</f>
        <v>-0.0862842556254006</v>
      </c>
      <c r="K21" s="31">
        <f t="shared" si="28"/>
        <v>0.0202574642479139</v>
      </c>
      <c r="L21" s="31">
        <f t="shared" si="28"/>
        <v>-0.0704825090470446</v>
      </c>
      <c r="M21" s="31">
        <f t="shared" si="28"/>
        <v>0.0263960444865489</v>
      </c>
      <c r="N21" s="31">
        <f t="shared" si="3"/>
        <v>0.0124476868417393</v>
      </c>
      <c r="O21" s="31">
        <f t="shared" si="4"/>
        <v>0.00590224104230204</v>
      </c>
      <c r="P21" s="31">
        <f t="shared" si="5"/>
        <v>0.00543445837470007</v>
      </c>
      <c r="Q21" s="31">
        <f t="shared" si="6"/>
        <v>0.0052772944501769</v>
      </c>
      <c r="R21" s="31">
        <f t="shared" si="7"/>
        <v>0.00473622309917537</v>
      </c>
      <c r="S21" s="31">
        <f t="shared" si="8"/>
        <v>0.00472312951596149</v>
      </c>
      <c r="T21" s="31">
        <f t="shared" si="9"/>
        <v>0.0046430517186635</v>
      </c>
      <c r="U21" s="30">
        <f t="shared" si="10"/>
        <v>62458.89</v>
      </c>
      <c r="V21" s="30">
        <f t="shared" si="11"/>
        <v>0.06245889</v>
      </c>
    </row>
    <row r="22" customHeight="1" spans="1:22">
      <c r="A22" s="29" t="s">
        <v>101</v>
      </c>
      <c r="B22" s="30">
        <f>SUMIFS(BSP_CORRIDORS!$D:$D,BSP_CORRIDORS!$A:$A,B$3,BSP_CORRIDORS!$C:$C,$A22)</f>
        <v>229476</v>
      </c>
      <c r="C22" s="30">
        <f>SUMIFS(BSP_CORRIDORS!$D:$D,BSP_CORRIDORS!$A:$A,C$3,BSP_CORRIDORS!$C:$C,$A22)</f>
        <v>386091</v>
      </c>
      <c r="D22" s="30">
        <f>SUMIFS(BSP_CORRIDORS!$D:$D,BSP_CORRIDORS!$A:$A,D$3,BSP_CORRIDORS!$C:$C,$A22)</f>
        <v>361674</v>
      </c>
      <c r="E22" s="30">
        <f>SUMIFS(BSP_CORRIDORS!$D:$D,BSP_CORRIDORS!$A:$A,E$3,BSP_CORRIDORS!$C:$C,$A22)</f>
        <v>334039</v>
      </c>
      <c r="F22" s="30">
        <f>SUMIFS(BSP_CORRIDORS!$D:$D,BSP_CORRIDORS!$A:$A,F$3,BSP_CORRIDORS!$C:$C,$A22)</f>
        <v>342063</v>
      </c>
      <c r="G22" s="30">
        <f>SUMIFS(BSP_CORRIDORS!$D:$D,BSP_CORRIDORS!$A:$A,G$3,BSP_CORRIDORS!$C:$C,$A22)</f>
        <v>347825</v>
      </c>
      <c r="H22" s="30">
        <f t="shared" si="0"/>
        <v>2001168</v>
      </c>
      <c r="I22" s="31">
        <f t="shared" si="1"/>
        <v>0.0867376277314624</v>
      </c>
      <c r="J22" s="31">
        <f t="shared" ref="J22:M22" si="29">IF(B22=0,"N/A",(C22-B22)/B22)</f>
        <v>0.682489672122575</v>
      </c>
      <c r="K22" s="31">
        <f t="shared" si="29"/>
        <v>-0.0632415674025036</v>
      </c>
      <c r="L22" s="31">
        <f t="shared" si="29"/>
        <v>-0.0764085889502701</v>
      </c>
      <c r="M22" s="31">
        <f t="shared" si="29"/>
        <v>0.0240211472313113</v>
      </c>
      <c r="N22" s="31">
        <f t="shared" si="3"/>
        <v>0.01684485021765</v>
      </c>
      <c r="O22" s="31">
        <f t="shared" si="4"/>
        <v>0.00761536240637434</v>
      </c>
      <c r="P22" s="31">
        <f t="shared" si="5"/>
        <v>0.0129113364778738</v>
      </c>
      <c r="Q22" s="31">
        <f t="shared" si="6"/>
        <v>0.0115118226355445</v>
      </c>
      <c r="R22" s="31">
        <f t="shared" si="7"/>
        <v>0.0102656684520903</v>
      </c>
      <c r="S22" s="31">
        <f t="shared" si="8"/>
        <v>0.010213601115287</v>
      </c>
      <c r="T22" s="31">
        <f t="shared" si="9"/>
        <v>0.0100840423353219</v>
      </c>
      <c r="U22" s="30">
        <f t="shared" si="10"/>
        <v>135651.75</v>
      </c>
      <c r="V22" s="30">
        <f t="shared" si="11"/>
        <v>0.13565175</v>
      </c>
    </row>
    <row r="23" customHeight="1" spans="1:22">
      <c r="A23" s="29" t="s">
        <v>35</v>
      </c>
      <c r="B23" s="30">
        <f>SUMIFS(BSP_CORRIDORS!$D:$D,BSP_CORRIDORS!$A:$A,B$3,BSP_CORRIDORS!$C:$C,$A23)</f>
        <v>177098</v>
      </c>
      <c r="C23" s="30">
        <f>SUMIFS(BSP_CORRIDORS!$D:$D,BSP_CORRIDORS!$A:$A,C$3,BSP_CORRIDORS!$C:$C,$A23)</f>
        <v>257198</v>
      </c>
      <c r="D23" s="30">
        <f>SUMIFS(BSP_CORRIDORS!$D:$D,BSP_CORRIDORS!$A:$A,D$3,BSP_CORRIDORS!$C:$C,$A23)</f>
        <v>300146</v>
      </c>
      <c r="E23" s="30">
        <f>SUMIFS(BSP_CORRIDORS!$D:$D,BSP_CORRIDORS!$A:$A,E$3,BSP_CORRIDORS!$C:$C,$A23)</f>
        <v>320745</v>
      </c>
      <c r="F23" s="30">
        <f>SUMIFS(BSP_CORRIDORS!$D:$D,BSP_CORRIDORS!$A:$A,F$3,BSP_CORRIDORS!$C:$C,$A23)</f>
        <v>331047</v>
      </c>
      <c r="G23" s="30">
        <f>SUMIFS(BSP_CORRIDORS!$D:$D,BSP_CORRIDORS!$A:$A,G$3,BSP_CORRIDORS!$C:$C,$A23)</f>
        <v>339737</v>
      </c>
      <c r="H23" s="30">
        <f t="shared" si="0"/>
        <v>1725971</v>
      </c>
      <c r="I23" s="31">
        <f t="shared" si="1"/>
        <v>0.139162914818465</v>
      </c>
      <c r="J23" s="31">
        <f t="shared" ref="J23:M23" si="30">IF(B23=0,"N/A",(C23-B23)/B23)</f>
        <v>0.452291951348971</v>
      </c>
      <c r="K23" s="31">
        <f t="shared" si="30"/>
        <v>0.166984191167894</v>
      </c>
      <c r="L23" s="31">
        <f t="shared" si="30"/>
        <v>0.0686299334323962</v>
      </c>
      <c r="M23" s="31">
        <f t="shared" si="30"/>
        <v>0.0321189730159472</v>
      </c>
      <c r="N23" s="31">
        <f t="shared" si="3"/>
        <v>0.0262500490866856</v>
      </c>
      <c r="O23" s="31">
        <f t="shared" si="4"/>
        <v>0.00587715251897403</v>
      </c>
      <c r="P23" s="31">
        <f t="shared" si="5"/>
        <v>0.0086010031817271</v>
      </c>
      <c r="Q23" s="31">
        <f t="shared" si="6"/>
        <v>0.00955343076020986</v>
      </c>
      <c r="R23" s="31">
        <f t="shared" si="7"/>
        <v>0.00985711796426674</v>
      </c>
      <c r="S23" s="31">
        <f t="shared" si="8"/>
        <v>0.00988467623920865</v>
      </c>
      <c r="T23" s="31">
        <f t="shared" si="9"/>
        <v>0.00984955736613309</v>
      </c>
      <c r="U23" s="30">
        <f t="shared" si="10"/>
        <v>132497.43</v>
      </c>
      <c r="V23" s="30">
        <f t="shared" si="11"/>
        <v>0.13249743</v>
      </c>
    </row>
    <row r="24" customHeight="1" spans="1:22">
      <c r="A24" s="29" t="s">
        <v>102</v>
      </c>
      <c r="B24" s="30">
        <f>SUMIFS(BSP_CORRIDORS!$D:$D,BSP_CORRIDORS!$A:$A,B$3,BSP_CORRIDORS!$C:$C,$A24)</f>
        <v>758136</v>
      </c>
      <c r="C24" s="30">
        <f>SUMIFS(BSP_CORRIDORS!$D:$D,BSP_CORRIDORS!$A:$A,C$3,BSP_CORRIDORS!$C:$C,$A24)</f>
        <v>820402</v>
      </c>
      <c r="D24" s="30">
        <f>SUMIFS(BSP_CORRIDORS!$D:$D,BSP_CORRIDORS!$A:$A,D$3,BSP_CORRIDORS!$C:$C,$A24)</f>
        <v>829482</v>
      </c>
      <c r="E24" s="30">
        <f>SUMIFS(BSP_CORRIDORS!$D:$D,BSP_CORRIDORS!$A:$A,E$3,BSP_CORRIDORS!$C:$C,$A24)</f>
        <v>895334</v>
      </c>
      <c r="F24" s="30">
        <f>SUMIFS(BSP_CORRIDORS!$D:$D,BSP_CORRIDORS!$A:$A,F$3,BSP_CORRIDORS!$C:$C,$A24)</f>
        <v>932385</v>
      </c>
      <c r="G24" s="30">
        <f>SUMIFS(BSP_CORRIDORS!$D:$D,BSP_CORRIDORS!$A:$A,G$3,BSP_CORRIDORS!$C:$C,$A24)</f>
        <v>977055</v>
      </c>
      <c r="H24" s="30">
        <f t="shared" si="0"/>
        <v>5212794</v>
      </c>
      <c r="I24" s="31">
        <f t="shared" si="1"/>
        <v>0.0520451495659295</v>
      </c>
      <c r="J24" s="31">
        <f t="shared" ref="J24:M24" si="31">IF(B24=0,"N/A",(C24-B24)/B24)</f>
        <v>0.0821303829392088</v>
      </c>
      <c r="K24" s="31">
        <f t="shared" si="31"/>
        <v>0.0110677448372871</v>
      </c>
      <c r="L24" s="31">
        <f t="shared" si="31"/>
        <v>0.0793893056148295</v>
      </c>
      <c r="M24" s="31">
        <f t="shared" si="31"/>
        <v>0.0413823221278316</v>
      </c>
      <c r="N24" s="31">
        <f t="shared" si="3"/>
        <v>0.047909393651764</v>
      </c>
      <c r="O24" s="31">
        <f t="shared" si="4"/>
        <v>0.0251594083621774</v>
      </c>
      <c r="P24" s="31">
        <f t="shared" si="5"/>
        <v>0.0274352063868898</v>
      </c>
      <c r="Q24" s="31">
        <f t="shared" si="6"/>
        <v>0.0264018139633392</v>
      </c>
      <c r="R24" s="31">
        <f t="shared" si="7"/>
        <v>0.0275153559850311</v>
      </c>
      <c r="S24" s="31">
        <f t="shared" si="8"/>
        <v>0.0278399256156816</v>
      </c>
      <c r="T24" s="31">
        <f t="shared" si="9"/>
        <v>0.0283264974741261</v>
      </c>
      <c r="U24" s="30">
        <f t="shared" si="10"/>
        <v>381051.45</v>
      </c>
      <c r="V24" s="30">
        <f t="shared" si="11"/>
        <v>0.38105145</v>
      </c>
    </row>
    <row r="25" customHeight="1" spans="1:22">
      <c r="A25" s="29" t="s">
        <v>19</v>
      </c>
      <c r="B25" s="30">
        <f>SUMIFS(BSP_CORRIDORS!$D:$D,BSP_CORRIDORS!$A:$A,B$3,BSP_CORRIDORS!$C:$C,$A25)</f>
        <v>2098287</v>
      </c>
      <c r="C25" s="30">
        <f>SUMIFS(BSP_CORRIDORS!$D:$D,BSP_CORRIDORS!$A:$A,C$3,BSP_CORRIDORS!$C:$C,$A25)</f>
        <v>1811538</v>
      </c>
      <c r="D25" s="30">
        <f>SUMIFS(BSP_CORRIDORS!$D:$D,BSP_CORRIDORS!$A:$A,D$3,BSP_CORRIDORS!$C:$C,$A25)</f>
        <v>1835200</v>
      </c>
      <c r="E25" s="30">
        <f>SUMIFS(BSP_CORRIDORS!$D:$D,BSP_CORRIDORS!$A:$A,E$3,BSP_CORRIDORS!$C:$C,$A25)</f>
        <v>1945227</v>
      </c>
      <c r="F25" s="30">
        <f>SUMIFS(BSP_CORRIDORS!$D:$D,BSP_CORRIDORS!$A:$A,F$3,BSP_CORRIDORS!$C:$C,$A25)</f>
        <v>2060096</v>
      </c>
      <c r="G25" s="30">
        <f>SUMIFS(BSP_CORRIDORS!$D:$D,BSP_CORRIDORS!$A:$A,G$3,BSP_CORRIDORS!$C:$C,$A25)</f>
        <v>2219250</v>
      </c>
      <c r="H25" s="30">
        <f t="shared" si="0"/>
        <v>11969598</v>
      </c>
      <c r="I25" s="31">
        <f t="shared" si="1"/>
        <v>0.0112726636701106</v>
      </c>
      <c r="J25" s="31">
        <f t="shared" ref="J25:M25" si="32">IF(B25=0,"N/A",(C25-B25)/B25)</f>
        <v>-0.136658617243494</v>
      </c>
      <c r="K25" s="31">
        <f t="shared" si="32"/>
        <v>0.01306182923019</v>
      </c>
      <c r="L25" s="31">
        <f t="shared" si="32"/>
        <v>0.0599536835222319</v>
      </c>
      <c r="M25" s="31">
        <f t="shared" si="32"/>
        <v>0.0590517199278028</v>
      </c>
      <c r="N25" s="31">
        <f t="shared" si="3"/>
        <v>0.0772556230389263</v>
      </c>
      <c r="O25" s="31">
        <f t="shared" si="4"/>
        <v>0.0696334951697955</v>
      </c>
      <c r="P25" s="31">
        <f t="shared" si="5"/>
        <v>0.0605799582493625</v>
      </c>
      <c r="Q25" s="31">
        <f t="shared" si="6"/>
        <v>0.0584130927319942</v>
      </c>
      <c r="R25" s="31">
        <f t="shared" si="7"/>
        <v>0.0597806107851305</v>
      </c>
      <c r="S25" s="31">
        <f t="shared" si="8"/>
        <v>0.061512057145024</v>
      </c>
      <c r="T25" s="31">
        <f t="shared" si="9"/>
        <v>0.0643398575509611</v>
      </c>
      <c r="U25" s="30">
        <f t="shared" si="10"/>
        <v>865507.5</v>
      </c>
      <c r="V25" s="30">
        <f t="shared" si="11"/>
        <v>0.8655075</v>
      </c>
    </row>
    <row r="26" customHeight="1" spans="1:22">
      <c r="A26" s="29" t="s">
        <v>18</v>
      </c>
      <c r="B26" s="30">
        <f>SUMIFS(BSP_CORRIDORS!$D:$D,BSP_CORRIDORS!$A:$A,B$3,BSP_CORRIDORS!$C:$C,$A26)</f>
        <v>1906494</v>
      </c>
      <c r="C26" s="30">
        <f>SUMIFS(BSP_CORRIDORS!$D:$D,BSP_CORRIDORS!$A:$A,C$3,BSP_CORRIDORS!$C:$C,$A26)</f>
        <v>2148447</v>
      </c>
      <c r="D26" s="30">
        <f>SUMIFS(BSP_CORRIDORS!$D:$D,BSP_CORRIDORS!$A:$A,D$3,BSP_CORRIDORS!$C:$C,$A26)</f>
        <v>2200990</v>
      </c>
      <c r="E26" s="30">
        <f>SUMIFS(BSP_CORRIDORS!$D:$D,BSP_CORRIDORS!$A:$A,E$3,BSP_CORRIDORS!$C:$C,$A26)</f>
        <v>2290977</v>
      </c>
      <c r="F26" s="30">
        <f>SUMIFS(BSP_CORRIDORS!$D:$D,BSP_CORRIDORS!$A:$A,F$3,BSP_CORRIDORS!$C:$C,$A26)</f>
        <v>2363634</v>
      </c>
      <c r="G26" s="30">
        <f>SUMIFS(BSP_CORRIDORS!$D:$D,BSP_CORRIDORS!$A:$A,G$3,BSP_CORRIDORS!$C:$C,$A26)</f>
        <v>2481459</v>
      </c>
      <c r="H26" s="30">
        <f t="shared" si="0"/>
        <v>13392001</v>
      </c>
      <c r="I26" s="31">
        <f t="shared" si="1"/>
        <v>0.054130385727805</v>
      </c>
      <c r="J26" s="31">
        <f t="shared" ref="J26:M26" si="33">IF(B26=0,"N/A",(C26-B26)/B26)</f>
        <v>0.126909919464735</v>
      </c>
      <c r="K26" s="31">
        <f t="shared" si="33"/>
        <v>0.0244562700406387</v>
      </c>
      <c r="L26" s="31">
        <f t="shared" si="33"/>
        <v>0.0408847836655323</v>
      </c>
      <c r="M26" s="31">
        <f t="shared" si="33"/>
        <v>0.0317144170369235</v>
      </c>
      <c r="N26" s="31">
        <f t="shared" si="3"/>
        <v>0.0498490883106268</v>
      </c>
      <c r="O26" s="31">
        <f t="shared" si="4"/>
        <v>0.0632686761821639</v>
      </c>
      <c r="P26" s="31">
        <f t="shared" si="5"/>
        <v>0.0718465908862901</v>
      </c>
      <c r="Q26" s="31">
        <f t="shared" si="6"/>
        <v>0.0700559246797036</v>
      </c>
      <c r="R26" s="31">
        <f t="shared" si="7"/>
        <v>0.0704061810548003</v>
      </c>
      <c r="S26" s="31">
        <f t="shared" si="8"/>
        <v>0.0705753468177802</v>
      </c>
      <c r="T26" s="31">
        <f t="shared" si="9"/>
        <v>0.0719417454448801</v>
      </c>
      <c r="U26" s="30">
        <f t="shared" si="10"/>
        <v>967769.01</v>
      </c>
      <c r="V26" s="30">
        <f t="shared" si="11"/>
        <v>0.96776901</v>
      </c>
    </row>
    <row r="27" customHeight="1" spans="1:22">
      <c r="A27" s="29" t="s">
        <v>37</v>
      </c>
      <c r="B27" s="30">
        <f>SUMIFS(BSP_CORRIDORS!$D:$D,BSP_CORRIDORS!$A:$A,B$3,BSP_CORRIDORS!$C:$C,$A27)</f>
        <v>597628</v>
      </c>
      <c r="C27" s="30">
        <f>SUMIFS(BSP_CORRIDORS!$D:$D,BSP_CORRIDORS!$A:$A,C$3,BSP_CORRIDORS!$C:$C,$A27)</f>
        <v>690394</v>
      </c>
      <c r="D27" s="30">
        <f>SUMIFS(BSP_CORRIDORS!$D:$D,BSP_CORRIDORS!$A:$A,D$3,BSP_CORRIDORS!$C:$C,$A27)</f>
        <v>841880</v>
      </c>
      <c r="E27" s="30">
        <f>SUMIFS(BSP_CORRIDORS!$D:$D,BSP_CORRIDORS!$A:$A,E$3,BSP_CORRIDORS!$C:$C,$A27)</f>
        <v>876216</v>
      </c>
      <c r="F27" s="30">
        <f>SUMIFS(BSP_CORRIDORS!$D:$D,BSP_CORRIDORS!$A:$A,F$3,BSP_CORRIDORS!$C:$C,$A27)</f>
        <v>904927</v>
      </c>
      <c r="G27" s="30">
        <f>SUMIFS(BSP_CORRIDORS!$D:$D,BSP_CORRIDORS!$A:$A,G$3,BSP_CORRIDORS!$C:$C,$A27)</f>
        <v>948248</v>
      </c>
      <c r="H27" s="30">
        <f t="shared" si="0"/>
        <v>4859293</v>
      </c>
      <c r="I27" s="31">
        <f t="shared" si="1"/>
        <v>0.0967261523722887</v>
      </c>
      <c r="J27" s="31">
        <f t="shared" ref="J27:M27" si="34">IF(B27=0,"N/A",(C27-B27)/B27)</f>
        <v>0.15522365083296</v>
      </c>
      <c r="K27" s="31">
        <f t="shared" si="34"/>
        <v>0.219419635744227</v>
      </c>
      <c r="L27" s="31">
        <f t="shared" si="34"/>
        <v>0.0407849099634152</v>
      </c>
      <c r="M27" s="31">
        <f t="shared" si="34"/>
        <v>0.03276703461247</v>
      </c>
      <c r="N27" s="31">
        <f t="shared" si="3"/>
        <v>0.0478723698154658</v>
      </c>
      <c r="O27" s="31">
        <f t="shared" si="4"/>
        <v>0.0198328095495681</v>
      </c>
      <c r="P27" s="31">
        <f t="shared" si="5"/>
        <v>0.0230875861812506</v>
      </c>
      <c r="Q27" s="31">
        <f t="shared" si="6"/>
        <v>0.0267964333637812</v>
      </c>
      <c r="R27" s="31">
        <f t="shared" si="7"/>
        <v>0.0269278226447114</v>
      </c>
      <c r="S27" s="31">
        <f t="shared" si="8"/>
        <v>0.0270200618495814</v>
      </c>
      <c r="T27" s="31">
        <f t="shared" si="9"/>
        <v>0.0274913332175211</v>
      </c>
      <c r="U27" s="30">
        <f t="shared" si="10"/>
        <v>369816.72</v>
      </c>
      <c r="V27" s="30">
        <f t="shared" si="11"/>
        <v>0.36981672</v>
      </c>
    </row>
    <row r="28" customHeight="1" spans="1:22">
      <c r="A28" s="29" t="s">
        <v>103</v>
      </c>
      <c r="B28" s="30">
        <f>SUMIFS(BSP_CORRIDORS!$D:$D,BSP_CORRIDORS!$A:$A,B$3,BSP_CORRIDORS!$C:$C,$A28)</f>
        <v>1592453</v>
      </c>
      <c r="C28" s="30">
        <f>SUMIFS(BSP_CORRIDORS!$D:$D,BSP_CORRIDORS!$A:$A,C$3,BSP_CORRIDORS!$C:$C,$A28)</f>
        <v>1287255</v>
      </c>
      <c r="D28" s="30">
        <f>SUMIFS(BSP_CORRIDORS!$D:$D,BSP_CORRIDORS!$A:$A,D$3,BSP_CORRIDORS!$C:$C,$A28)</f>
        <v>1320218</v>
      </c>
      <c r="E28" s="30">
        <f>SUMIFS(BSP_CORRIDORS!$D:$D,BSP_CORRIDORS!$A:$A,E$3,BSP_CORRIDORS!$C:$C,$A28)</f>
        <v>1350637</v>
      </c>
      <c r="F28" s="30">
        <f>SUMIFS(BSP_CORRIDORS!$D:$D,BSP_CORRIDORS!$A:$A,F$3,BSP_CORRIDORS!$C:$C,$A28)</f>
        <v>1424592</v>
      </c>
      <c r="G28" s="30">
        <f>SUMIFS(BSP_CORRIDORS!$D:$D,BSP_CORRIDORS!$A:$A,G$3,BSP_CORRIDORS!$C:$C,$A28)</f>
        <v>1521332</v>
      </c>
      <c r="H28" s="30">
        <f t="shared" si="0"/>
        <v>8496487</v>
      </c>
      <c r="I28" s="31">
        <f t="shared" si="1"/>
        <v>-0.00909624214162463</v>
      </c>
      <c r="J28" s="31">
        <f t="shared" ref="J28:M28" si="35">IF(B28=0,"N/A",(C28-B28)/B28)</f>
        <v>-0.191652752074944</v>
      </c>
      <c r="K28" s="31">
        <f t="shared" si="35"/>
        <v>0.0256072029240516</v>
      </c>
      <c r="L28" s="31">
        <f t="shared" si="35"/>
        <v>0.0230408917315171</v>
      </c>
      <c r="M28" s="31">
        <f t="shared" si="35"/>
        <v>0.0547556449290224</v>
      </c>
      <c r="N28" s="31">
        <f t="shared" si="3"/>
        <v>0.0679071621909993</v>
      </c>
      <c r="O28" s="31">
        <f t="shared" si="4"/>
        <v>0.0528469500519359</v>
      </c>
      <c r="P28" s="31">
        <f t="shared" si="5"/>
        <v>0.0430473189942928</v>
      </c>
      <c r="Q28" s="31">
        <f t="shared" si="6"/>
        <v>0.0420215869989363</v>
      </c>
      <c r="R28" s="31">
        <f t="shared" si="7"/>
        <v>0.0415077031158813</v>
      </c>
      <c r="S28" s="31">
        <f t="shared" si="8"/>
        <v>0.0425366509678889</v>
      </c>
      <c r="T28" s="31">
        <f t="shared" si="9"/>
        <v>0.0441060196767911</v>
      </c>
      <c r="U28" s="30">
        <f t="shared" si="10"/>
        <v>593319.48</v>
      </c>
      <c r="V28" s="30">
        <f t="shared" si="11"/>
        <v>0.59331948</v>
      </c>
    </row>
    <row r="29" customHeight="1" spans="1:22">
      <c r="A29" s="29" t="s">
        <v>21</v>
      </c>
      <c r="B29" s="30">
        <f>SUMIFS(BSP_CORRIDORS!$D:$D,BSP_CORRIDORS!$A:$A,B$3,BSP_CORRIDORS!$C:$C,$A29)</f>
        <v>1566958</v>
      </c>
      <c r="C29" s="30">
        <f>SUMIFS(BSP_CORRIDORS!$D:$D,BSP_CORRIDORS!$A:$A,C$3,BSP_CORRIDORS!$C:$C,$A29)</f>
        <v>1371170</v>
      </c>
      <c r="D29" s="30">
        <f>SUMIFS(BSP_CORRIDORS!$D:$D,BSP_CORRIDORS!$A:$A,D$3,BSP_CORRIDORS!$C:$C,$A29)</f>
        <v>1482662</v>
      </c>
      <c r="E29" s="30">
        <f>SUMIFS(BSP_CORRIDORS!$D:$D,BSP_CORRIDORS!$A:$A,E$3,BSP_CORRIDORS!$C:$C,$A29)</f>
        <v>1530171</v>
      </c>
      <c r="F29" s="30">
        <f>SUMIFS(BSP_CORRIDORS!$D:$D,BSP_CORRIDORS!$A:$A,F$3,BSP_CORRIDORS!$C:$C,$A29)</f>
        <v>1581886</v>
      </c>
      <c r="G29" s="30">
        <f>SUMIFS(BSP_CORRIDORS!$D:$D,BSP_CORRIDORS!$A:$A,G$3,BSP_CORRIDORS!$C:$C,$A29)</f>
        <v>1622046</v>
      </c>
      <c r="H29" s="30">
        <f t="shared" si="0"/>
        <v>9154893</v>
      </c>
      <c r="I29" s="31">
        <f t="shared" si="1"/>
        <v>0.00693436315055118</v>
      </c>
      <c r="J29" s="31">
        <f t="shared" ref="J29:M29" si="36">IF(B29=0,"N/A",(C29-B29)/B29)</f>
        <v>-0.12494782885055</v>
      </c>
      <c r="K29" s="31">
        <f t="shared" si="36"/>
        <v>0.0813115806209296</v>
      </c>
      <c r="L29" s="31">
        <f t="shared" si="36"/>
        <v>0.0320430415023788</v>
      </c>
      <c r="M29" s="31">
        <f t="shared" si="36"/>
        <v>0.0337968762968322</v>
      </c>
      <c r="N29" s="31">
        <f t="shared" si="3"/>
        <v>0.025387417298086</v>
      </c>
      <c r="O29" s="31">
        <f t="shared" si="4"/>
        <v>0.0520008761071638</v>
      </c>
      <c r="P29" s="31">
        <f t="shared" si="5"/>
        <v>0.0458535351468081</v>
      </c>
      <c r="Q29" s="31">
        <f t="shared" si="6"/>
        <v>0.0471920623889516</v>
      </c>
      <c r="R29" s="31">
        <f t="shared" si="7"/>
        <v>0.0470251322779778</v>
      </c>
      <c r="S29" s="31">
        <f t="shared" si="8"/>
        <v>0.0472332658424236</v>
      </c>
      <c r="T29" s="31">
        <f t="shared" si="9"/>
        <v>0.0470258909906978</v>
      </c>
      <c r="U29" s="30">
        <f t="shared" si="10"/>
        <v>632597.94</v>
      </c>
      <c r="V29" s="30">
        <f t="shared" si="11"/>
        <v>0.63259794</v>
      </c>
    </row>
    <row r="30" customHeight="1" spans="1:22">
      <c r="A30" s="29" t="s">
        <v>17</v>
      </c>
      <c r="B30" s="30">
        <f>SUMIFS(BSP_CORRIDORS!$D:$D,BSP_CORRIDORS!$A:$A,B$3,BSP_CORRIDORS!$C:$C,$A30)</f>
        <v>11318335</v>
      </c>
      <c r="C30" s="30">
        <f>SUMIFS(BSP_CORRIDORS!$D:$D,BSP_CORRIDORS!$A:$A,C$3,BSP_CORRIDORS!$C:$C,$A30)</f>
        <v>11936353</v>
      </c>
      <c r="D30" s="30">
        <f>SUMIFS(BSP_CORRIDORS!$D:$D,BSP_CORRIDORS!$A:$A,D$3,BSP_CORRIDORS!$C:$C,$A30)</f>
        <v>12735977</v>
      </c>
      <c r="E30" s="30">
        <f>SUMIFS(BSP_CORRIDORS!$D:$D,BSP_CORRIDORS!$A:$A,E$3,BSP_CORRIDORS!$C:$C,$A30)</f>
        <v>13396567</v>
      </c>
      <c r="F30" s="30">
        <f>SUMIFS(BSP_CORRIDORS!$D:$D,BSP_CORRIDORS!$A:$A,F$3,BSP_CORRIDORS!$C:$C,$A30)</f>
        <v>13709979</v>
      </c>
      <c r="G30" s="30">
        <f>SUMIFS(BSP_CORRIDORS!$D:$D,BSP_CORRIDORS!$A:$A,G$3,BSP_CORRIDORS!$C:$C,$A30)</f>
        <v>14013899</v>
      </c>
      <c r="H30" s="30">
        <f t="shared" si="0"/>
        <v>77111110</v>
      </c>
      <c r="I30" s="31">
        <f t="shared" si="1"/>
        <v>0.0436509861753018</v>
      </c>
      <c r="J30" s="31">
        <f t="shared" ref="J30:M30" si="37">IF(B30=0,"N/A",(C30-B30)/B30)</f>
        <v>0.0546032609920099</v>
      </c>
      <c r="K30" s="31">
        <f t="shared" si="37"/>
        <v>0.0669906461378949</v>
      </c>
      <c r="L30" s="31">
        <f t="shared" si="37"/>
        <v>0.0518680270857901</v>
      </c>
      <c r="M30" s="31">
        <f t="shared" si="37"/>
        <v>0.0233949488701098</v>
      </c>
      <c r="N30" s="31">
        <f t="shared" si="3"/>
        <v>0.022167794713617</v>
      </c>
      <c r="O30" s="31">
        <f t="shared" si="4"/>
        <v>0.375608877885927</v>
      </c>
      <c r="P30" s="31">
        <f t="shared" si="5"/>
        <v>0.39916566276261</v>
      </c>
      <c r="Q30" s="31">
        <f t="shared" si="6"/>
        <v>0.405376964654286</v>
      </c>
      <c r="R30" s="31">
        <f t="shared" si="7"/>
        <v>0.411702571311175</v>
      </c>
      <c r="S30" s="31">
        <f t="shared" si="8"/>
        <v>0.409363938236412</v>
      </c>
      <c r="T30" s="31">
        <f t="shared" si="9"/>
        <v>0.406286928193559</v>
      </c>
      <c r="U30" s="30">
        <f t="shared" si="10"/>
        <v>5465420.61</v>
      </c>
      <c r="V30" s="30">
        <f t="shared" si="11"/>
        <v>5.46542061</v>
      </c>
    </row>
    <row r="31" customHeight="1" spans="1:22">
      <c r="I31" s="26"/>
      <c r="V31" s="32">
        <f>SUM(V4:V30)</f>
        <v>13.03515408</v>
      </c>
    </row>
    <row r="32" customHeight="1" spans="1:22">
      <c r="A32" s="33" t="s">
        <v>104</v>
      </c>
      <c r="I32" s="26"/>
    </row>
    <row r="33" customHeight="1" spans="9:9">
      <c r="I33" s="26"/>
    </row>
    <row r="34" customHeight="1" spans="9:9">
      <c r="I34" s="26"/>
    </row>
    <row r="35" customHeight="1" spans="9:9">
      <c r="I35" s="26"/>
    </row>
    <row r="36" customHeight="1" spans="9:9">
      <c r="I36" s="26"/>
    </row>
    <row r="37" customHeight="1" spans="9:9">
      <c r="I37" s="26"/>
    </row>
    <row r="38" customHeight="1" spans="9:9">
      <c r="I38" s="26"/>
    </row>
    <row r="39" customHeight="1" spans="9:9">
      <c r="I39" s="26"/>
    </row>
    <row r="40" customHeight="1" spans="9:9">
      <c r="I40" s="26"/>
    </row>
    <row r="41" customHeight="1" spans="9:9">
      <c r="I41" s="26"/>
    </row>
    <row r="42" customHeight="1" spans="9:9">
      <c r="I42" s="26"/>
    </row>
    <row r="43" customHeight="1" spans="9:9">
      <c r="I43" s="26"/>
    </row>
    <row r="44" customHeight="1" spans="9:9">
      <c r="I44" s="26"/>
    </row>
    <row r="45" customHeight="1" spans="9:9">
      <c r="I45" s="26"/>
    </row>
    <row r="46" customHeight="1" spans="9:9">
      <c r="I46" s="26"/>
    </row>
    <row r="47" customHeight="1" spans="9:9">
      <c r="I47" s="26"/>
    </row>
    <row r="48" customHeight="1" spans="9:9">
      <c r="I48" s="26"/>
    </row>
    <row r="49" customHeight="1" spans="9:9">
      <c r="I49" s="26"/>
    </row>
    <row r="50" customHeight="1" spans="9:9">
      <c r="I50" s="26"/>
    </row>
    <row r="51" customHeight="1" spans="9:9">
      <c r="I51" s="26"/>
    </row>
    <row r="52" customHeight="1" spans="9:9">
      <c r="I52" s="26"/>
    </row>
    <row r="53" customHeight="1" spans="9:9">
      <c r="I53" s="26"/>
    </row>
    <row r="54" customHeight="1" spans="9:9">
      <c r="I54" s="26"/>
    </row>
    <row r="55" customHeight="1" spans="9:9">
      <c r="I55" s="26"/>
    </row>
    <row r="56" customHeight="1" spans="9:9">
      <c r="I56" s="26"/>
    </row>
    <row r="57" customHeight="1" spans="9:9">
      <c r="I57" s="26"/>
    </row>
    <row r="58" customHeight="1" spans="9:9">
      <c r="I58" s="26"/>
    </row>
    <row r="59" customHeight="1" spans="9:9">
      <c r="I59" s="26"/>
    </row>
    <row r="60" customHeight="1" spans="9:9">
      <c r="I60" s="26"/>
    </row>
    <row r="61" customHeight="1" spans="9:9">
      <c r="I61" s="26"/>
    </row>
    <row r="62" customHeight="1" spans="9:9">
      <c r="I62" s="26"/>
    </row>
    <row r="63" customHeight="1" spans="9:9">
      <c r="I63" s="26"/>
    </row>
    <row r="64" customHeight="1" spans="9:9">
      <c r="I64" s="26"/>
    </row>
    <row r="65" customHeight="1" spans="9:9">
      <c r="I65" s="26"/>
    </row>
    <row r="66" customHeight="1" spans="9:9">
      <c r="I66" s="26"/>
    </row>
    <row r="67" customHeight="1" spans="9:9">
      <c r="I67" s="26"/>
    </row>
    <row r="68" customHeight="1" spans="9:9">
      <c r="I68" s="26"/>
    </row>
    <row r="69" customHeight="1" spans="9:9">
      <c r="I69" s="26"/>
    </row>
    <row r="70" customHeight="1" spans="9:9">
      <c r="I70" s="26"/>
    </row>
    <row r="71" customHeight="1" spans="9:9">
      <c r="I71" s="26"/>
    </row>
    <row r="72" customHeight="1" spans="9:9">
      <c r="I72" s="26"/>
    </row>
    <row r="73" customHeight="1" spans="9:9">
      <c r="I73" s="26"/>
    </row>
    <row r="74" customHeight="1" spans="9:9">
      <c r="I74" s="26"/>
    </row>
    <row r="75" customHeight="1" spans="9:9">
      <c r="I75" s="26"/>
    </row>
    <row r="76" customHeight="1" spans="9:9">
      <c r="I76" s="26"/>
    </row>
    <row r="77" customHeight="1" spans="9:9">
      <c r="I77" s="26"/>
    </row>
    <row r="78" customHeight="1" spans="9:9">
      <c r="I78" s="26"/>
    </row>
    <row r="79" customHeight="1" spans="9:9">
      <c r="I79" s="26"/>
    </row>
    <row r="80" customHeight="1" spans="9:9">
      <c r="I80" s="26"/>
    </row>
    <row r="81" customHeight="1" spans="9:9">
      <c r="I81" s="26"/>
    </row>
    <row r="82" customHeight="1" spans="9:9">
      <c r="I82" s="26"/>
    </row>
    <row r="83" customHeight="1" spans="9:9">
      <c r="I83" s="26"/>
    </row>
    <row r="84" customHeight="1" spans="9:9">
      <c r="I84" s="26"/>
    </row>
    <row r="85" customHeight="1" spans="9:9">
      <c r="I85" s="26"/>
    </row>
    <row r="86" customHeight="1" spans="9:9">
      <c r="I86" s="26"/>
    </row>
    <row r="87" customHeight="1" spans="9:9">
      <c r="I87" s="26"/>
    </row>
    <row r="88" customHeight="1" spans="9:9">
      <c r="I88" s="26"/>
    </row>
    <row r="89" customHeight="1" spans="9:9">
      <c r="I89" s="26"/>
    </row>
    <row r="90" customHeight="1" spans="9:9">
      <c r="I90" s="26"/>
    </row>
    <row r="91" customHeight="1" spans="9:9">
      <c r="I91" s="26"/>
    </row>
    <row r="92" customHeight="1" spans="9:9">
      <c r="I92" s="26"/>
    </row>
    <row r="93" customHeight="1" spans="9:9">
      <c r="I93" s="26"/>
    </row>
    <row r="94" customHeight="1" spans="9:9">
      <c r="I94" s="26"/>
    </row>
    <row r="95" customHeight="1" spans="9:9">
      <c r="I95" s="26"/>
    </row>
    <row r="96" customHeight="1" spans="9:9">
      <c r="I96" s="26"/>
    </row>
    <row r="97" customHeight="1" spans="9:9">
      <c r="I97" s="26"/>
    </row>
    <row r="98" customHeight="1" spans="9:9">
      <c r="I98" s="26"/>
    </row>
    <row r="99" customHeight="1" spans="9:9">
      <c r="I99" s="26"/>
    </row>
    <row r="100" customHeight="1" spans="9:9">
      <c r="I100" s="26"/>
    </row>
    <row r="101" customHeight="1" spans="9:9">
      <c r="I101" s="26"/>
    </row>
    <row r="102" customHeight="1" spans="9:9">
      <c r="I102" s="26"/>
    </row>
    <row r="103" customHeight="1" spans="9:9">
      <c r="I103" s="26"/>
    </row>
    <row r="104" customHeight="1" spans="9:9">
      <c r="I104" s="26"/>
    </row>
    <row r="105" customHeight="1" spans="9:9">
      <c r="I105" s="26"/>
    </row>
    <row r="106" customHeight="1" spans="9:9">
      <c r="I106" s="26"/>
    </row>
    <row r="107" customHeight="1" spans="9:9">
      <c r="I107" s="26"/>
    </row>
    <row r="108" customHeight="1" spans="9:9">
      <c r="I108" s="26"/>
    </row>
    <row r="109" customHeight="1" spans="9:9">
      <c r="I109" s="26"/>
    </row>
    <row r="110" customHeight="1" spans="9:9">
      <c r="I110" s="26"/>
    </row>
    <row r="111" customHeight="1" spans="9:9">
      <c r="I111" s="26"/>
    </row>
    <row r="112" customHeight="1" spans="9:9">
      <c r="I112" s="26"/>
    </row>
    <row r="113" customHeight="1" spans="9:9">
      <c r="I113" s="26"/>
    </row>
    <row r="114" customHeight="1" spans="9:9">
      <c r="I114" s="26"/>
    </row>
    <row r="115" customHeight="1" spans="9:9">
      <c r="I115" s="26"/>
    </row>
    <row r="116" customHeight="1" spans="9:9">
      <c r="I116" s="26"/>
    </row>
    <row r="117" customHeight="1" spans="9:9">
      <c r="I117" s="26"/>
    </row>
    <row r="118" customHeight="1" spans="9:9">
      <c r="I118" s="26"/>
    </row>
    <row r="119" customHeight="1" spans="9:9">
      <c r="I119" s="26"/>
    </row>
    <row r="120" customHeight="1" spans="9:9">
      <c r="I120" s="26"/>
    </row>
    <row r="121" customHeight="1" spans="9:9">
      <c r="I121" s="26"/>
    </row>
    <row r="122" customHeight="1" spans="9:9">
      <c r="I122" s="26"/>
    </row>
    <row r="123" customHeight="1" spans="9:9">
      <c r="I123" s="26"/>
    </row>
    <row r="124" customHeight="1" spans="9:9">
      <c r="I124" s="26"/>
    </row>
    <row r="125" customHeight="1" spans="9:9">
      <c r="I125" s="26"/>
    </row>
    <row r="126" customHeight="1" spans="9:9">
      <c r="I126" s="26"/>
    </row>
    <row r="127" customHeight="1" spans="9:9">
      <c r="I127" s="26"/>
    </row>
    <row r="128" customHeight="1" spans="9:9">
      <c r="I128" s="26"/>
    </row>
    <row r="129" customHeight="1" spans="9:9">
      <c r="I129" s="26"/>
    </row>
    <row r="130" customHeight="1" spans="9:9">
      <c r="I130" s="26"/>
    </row>
    <row r="131" customHeight="1" spans="9:9">
      <c r="I131" s="26"/>
    </row>
    <row r="132" customHeight="1" spans="9:9">
      <c r="I132" s="26"/>
    </row>
    <row r="133" customHeight="1" spans="9:9">
      <c r="I133" s="26"/>
    </row>
    <row r="134" customHeight="1" spans="9:9">
      <c r="I134" s="26"/>
    </row>
    <row r="135" customHeight="1" spans="9:9">
      <c r="I135" s="26"/>
    </row>
    <row r="136" customHeight="1" spans="9:9">
      <c r="I136" s="26"/>
    </row>
    <row r="137" customHeight="1" spans="9:9">
      <c r="I137" s="26"/>
    </row>
    <row r="138" customHeight="1" spans="9:9">
      <c r="I138" s="26"/>
    </row>
    <row r="139" customHeight="1" spans="9:9">
      <c r="I139" s="26"/>
    </row>
    <row r="140" customHeight="1" spans="9:9">
      <c r="I140" s="26"/>
    </row>
    <row r="141" customHeight="1" spans="9:9">
      <c r="I141" s="26"/>
    </row>
    <row r="142" customHeight="1" spans="9:9">
      <c r="I142" s="26"/>
    </row>
    <row r="143" customHeight="1" spans="9:9">
      <c r="I143" s="26"/>
    </row>
    <row r="144" customHeight="1" spans="9:9">
      <c r="I144" s="26"/>
    </row>
    <row r="145" customHeight="1" spans="9:9">
      <c r="I145" s="26"/>
    </row>
    <row r="146" customHeight="1" spans="9:9">
      <c r="I146" s="26"/>
    </row>
    <row r="147" customHeight="1" spans="9:9">
      <c r="I147" s="26"/>
    </row>
    <row r="148" customHeight="1" spans="9:9">
      <c r="I148" s="26"/>
    </row>
    <row r="149" customHeight="1" spans="9:9">
      <c r="I149" s="26"/>
    </row>
    <row r="150" customHeight="1" spans="9:9">
      <c r="I150" s="26"/>
    </row>
    <row r="151" customHeight="1" spans="9:9">
      <c r="I151" s="26"/>
    </row>
    <row r="152" customHeight="1" spans="9:9">
      <c r="I152" s="26"/>
    </row>
    <row r="153" customHeight="1" spans="9:9">
      <c r="I153" s="26"/>
    </row>
    <row r="154" customHeight="1" spans="9:9">
      <c r="I154" s="26"/>
    </row>
    <row r="155" customHeight="1" spans="9:9">
      <c r="I155" s="26"/>
    </row>
    <row r="156" customHeight="1" spans="9:9">
      <c r="I156" s="26"/>
    </row>
    <row r="157" customHeight="1" spans="9:9">
      <c r="I157" s="26"/>
    </row>
    <row r="158" customHeight="1" spans="9:9">
      <c r="I158" s="26"/>
    </row>
    <row r="159" customHeight="1" spans="9:9">
      <c r="I159" s="26"/>
    </row>
    <row r="160" customHeight="1" spans="9:9">
      <c r="I160" s="26"/>
    </row>
    <row r="161" customHeight="1" spans="9:9">
      <c r="I161" s="26"/>
    </row>
    <row r="162" customHeight="1" spans="9:9">
      <c r="I162" s="26"/>
    </row>
    <row r="163" customHeight="1" spans="9:9">
      <c r="I163" s="26"/>
    </row>
    <row r="164" customHeight="1" spans="9:9">
      <c r="I164" s="26"/>
    </row>
    <row r="165" customHeight="1" spans="9:9">
      <c r="I165" s="26"/>
    </row>
    <row r="166" customHeight="1" spans="9:9">
      <c r="I166" s="26"/>
    </row>
    <row r="167" customHeight="1" spans="9:9">
      <c r="I167" s="26"/>
    </row>
    <row r="168" customHeight="1" spans="9:9">
      <c r="I168" s="26"/>
    </row>
    <row r="169" customHeight="1" spans="9:9">
      <c r="I169" s="26"/>
    </row>
    <row r="170" customHeight="1" spans="9:9">
      <c r="I170" s="26"/>
    </row>
    <row r="171" customHeight="1" spans="9:9">
      <c r="I171" s="26"/>
    </row>
    <row r="172" customHeight="1" spans="9:9">
      <c r="I172" s="26"/>
    </row>
    <row r="173" customHeight="1" spans="9:9">
      <c r="I173" s="26"/>
    </row>
    <row r="174" customHeight="1" spans="9:9">
      <c r="I174" s="26"/>
    </row>
    <row r="175" customHeight="1" spans="9:9">
      <c r="I175" s="26"/>
    </row>
    <row r="176" customHeight="1" spans="9:9">
      <c r="I176" s="26"/>
    </row>
    <row r="177" customHeight="1" spans="9:9">
      <c r="I177" s="26"/>
    </row>
    <row r="178" customHeight="1" spans="9:9">
      <c r="I178" s="26"/>
    </row>
    <row r="179" customHeight="1" spans="9:9">
      <c r="I179" s="26"/>
    </row>
    <row r="180" customHeight="1" spans="9:9">
      <c r="I180" s="26"/>
    </row>
    <row r="181" customHeight="1" spans="9:9">
      <c r="I181" s="26"/>
    </row>
    <row r="182" customHeight="1" spans="9:9">
      <c r="I182" s="26"/>
    </row>
    <row r="183" customHeight="1" spans="9:9">
      <c r="I183" s="26"/>
    </row>
    <row r="184" customHeight="1" spans="9:9">
      <c r="I184" s="26"/>
    </row>
    <row r="185" customHeight="1" spans="9:9">
      <c r="I185" s="26"/>
    </row>
    <row r="186" customHeight="1" spans="9:9">
      <c r="I186" s="26"/>
    </row>
    <row r="187" customHeight="1" spans="9:9">
      <c r="I187" s="26"/>
    </row>
    <row r="188" customHeight="1" spans="9:9">
      <c r="I188" s="26"/>
    </row>
    <row r="189" customHeight="1" spans="9:9">
      <c r="I189" s="26"/>
    </row>
    <row r="190" customHeight="1" spans="9:9">
      <c r="I190" s="26"/>
    </row>
    <row r="191" customHeight="1" spans="9:9">
      <c r="I191" s="26"/>
    </row>
    <row r="192" customHeight="1" spans="9:9">
      <c r="I192" s="26"/>
    </row>
    <row r="193" customHeight="1" spans="9:9">
      <c r="I193" s="26"/>
    </row>
    <row r="194" customHeight="1" spans="9:9">
      <c r="I194" s="26"/>
    </row>
    <row r="195" customHeight="1" spans="9:9">
      <c r="I195" s="26"/>
    </row>
    <row r="196" customHeight="1" spans="9:9">
      <c r="I196" s="26"/>
    </row>
    <row r="197" customHeight="1" spans="9:9">
      <c r="I197" s="26"/>
    </row>
    <row r="198" customHeight="1" spans="9:9">
      <c r="I198" s="26"/>
    </row>
    <row r="199" customHeight="1" spans="9:9">
      <c r="I199" s="26"/>
    </row>
    <row r="200" customHeight="1" spans="9:9">
      <c r="I200" s="26"/>
    </row>
    <row r="201" customHeight="1" spans="9:9">
      <c r="I201" s="26"/>
    </row>
    <row r="202" customHeight="1" spans="9:9">
      <c r="I202" s="26"/>
    </row>
    <row r="203" customHeight="1" spans="9:9">
      <c r="I203" s="26"/>
    </row>
    <row r="204" customHeight="1" spans="9:9">
      <c r="I204" s="26"/>
    </row>
    <row r="205" customHeight="1" spans="9:9">
      <c r="I205" s="26"/>
    </row>
    <row r="206" customHeight="1" spans="9:9">
      <c r="I206" s="26"/>
    </row>
    <row r="207" customHeight="1" spans="9:9">
      <c r="I207" s="26"/>
    </row>
    <row r="208" customHeight="1" spans="9:9">
      <c r="I208" s="26"/>
    </row>
    <row r="209" customHeight="1" spans="9:9">
      <c r="I209" s="26"/>
    </row>
    <row r="210" customHeight="1" spans="9:9">
      <c r="I210" s="26"/>
    </row>
    <row r="211" customHeight="1" spans="9:9">
      <c r="I211" s="26"/>
    </row>
    <row r="212" customHeight="1" spans="9:9">
      <c r="I212" s="26"/>
    </row>
    <row r="213" customHeight="1" spans="9:9">
      <c r="I213" s="26"/>
    </row>
    <row r="214" customHeight="1" spans="9:9">
      <c r="I214" s="26"/>
    </row>
    <row r="215" customHeight="1" spans="9:9">
      <c r="I215" s="26"/>
    </row>
    <row r="216" customHeight="1" spans="9:9">
      <c r="I216" s="26"/>
    </row>
    <row r="217" customHeight="1" spans="9:9">
      <c r="I217" s="26"/>
    </row>
    <row r="218" customHeight="1" spans="9:9">
      <c r="I218" s="26"/>
    </row>
    <row r="219" customHeight="1" spans="9:9">
      <c r="I219" s="26"/>
    </row>
    <row r="220" customHeight="1" spans="9:9">
      <c r="I220" s="26"/>
    </row>
    <row r="221" customHeight="1" spans="9:9">
      <c r="I221" s="26"/>
    </row>
    <row r="222" customHeight="1" spans="9:9">
      <c r="I222" s="26"/>
    </row>
    <row r="223" customHeight="1" spans="9:9">
      <c r="I223" s="26"/>
    </row>
    <row r="224" customHeight="1" spans="9:9">
      <c r="I224" s="26"/>
    </row>
    <row r="225" customHeight="1" spans="9:9">
      <c r="I225" s="26"/>
    </row>
    <row r="226" customHeight="1" spans="9:9">
      <c r="I226" s="26"/>
    </row>
    <row r="227" customHeight="1" spans="9:9">
      <c r="I227" s="26"/>
    </row>
    <row r="228" customHeight="1" spans="9:9">
      <c r="I228" s="26"/>
    </row>
    <row r="229" customHeight="1" spans="9:9">
      <c r="I229" s="26"/>
    </row>
    <row r="230" customHeight="1" spans="9:9">
      <c r="I230" s="26"/>
    </row>
    <row r="231" customHeight="1" spans="9:9">
      <c r="I231" s="26"/>
    </row>
    <row r="232" customHeight="1" spans="9:9">
      <c r="I232" s="26"/>
    </row>
    <row r="233" customHeight="1" spans="9:9">
      <c r="I233" s="26"/>
    </row>
    <row r="234" customHeight="1" spans="9:9">
      <c r="I234" s="26"/>
    </row>
    <row r="235" customHeight="1" spans="9:9">
      <c r="I235" s="26"/>
    </row>
    <row r="236" customHeight="1" spans="9:9">
      <c r="I236" s="26"/>
    </row>
    <row r="237" customHeight="1" spans="9:9">
      <c r="I237" s="26"/>
    </row>
    <row r="238" customHeight="1" spans="9:9">
      <c r="I238" s="26"/>
    </row>
    <row r="239" customHeight="1" spans="9:9">
      <c r="I239" s="26"/>
    </row>
    <row r="240" customHeight="1" spans="9:9">
      <c r="I240" s="26"/>
    </row>
    <row r="241" customHeight="1" spans="9:9">
      <c r="I241" s="26"/>
    </row>
    <row r="242" customHeight="1" spans="9:9">
      <c r="I242" s="26"/>
    </row>
    <row r="243" customHeight="1" spans="9:9">
      <c r="I243" s="26"/>
    </row>
    <row r="244" customHeight="1" spans="9:9">
      <c r="I244" s="26"/>
    </row>
    <row r="245" customHeight="1" spans="9:9">
      <c r="I245" s="26"/>
    </row>
    <row r="246" customHeight="1" spans="9:9">
      <c r="I246" s="26"/>
    </row>
    <row r="247" customHeight="1" spans="9:9">
      <c r="I247" s="26"/>
    </row>
    <row r="248" customHeight="1" spans="9:9">
      <c r="I248" s="26"/>
    </row>
    <row r="249" customHeight="1" spans="9:9">
      <c r="I249" s="26"/>
    </row>
    <row r="250" customHeight="1" spans="9:9">
      <c r="I250" s="26"/>
    </row>
    <row r="251" customHeight="1" spans="9:9">
      <c r="I251" s="26"/>
    </row>
    <row r="252" customHeight="1" spans="9:9">
      <c r="I252" s="26"/>
    </row>
    <row r="253" customHeight="1" spans="9:9">
      <c r="I253" s="26"/>
    </row>
    <row r="254" customHeight="1" spans="9:9">
      <c r="I254" s="26"/>
    </row>
    <row r="255" customHeight="1" spans="9:9">
      <c r="I255" s="26"/>
    </row>
    <row r="256" customHeight="1" spans="9:9">
      <c r="I256" s="26"/>
    </row>
    <row r="257" customHeight="1" spans="9:9">
      <c r="I257" s="26"/>
    </row>
    <row r="258" customHeight="1" spans="9:9">
      <c r="I258" s="26"/>
    </row>
    <row r="259" customHeight="1" spans="9:9">
      <c r="I259" s="26"/>
    </row>
    <row r="260" customHeight="1" spans="9:9">
      <c r="I260" s="26"/>
    </row>
    <row r="261" customHeight="1" spans="9:9">
      <c r="I261" s="26"/>
    </row>
    <row r="262" customHeight="1" spans="9:9">
      <c r="I262" s="26"/>
    </row>
    <row r="263" customHeight="1" spans="9:9">
      <c r="I263" s="26"/>
    </row>
    <row r="264" customHeight="1" spans="9:9">
      <c r="I264" s="26"/>
    </row>
    <row r="265" customHeight="1" spans="9:9">
      <c r="I265" s="26"/>
    </row>
    <row r="266" customHeight="1" spans="9:9">
      <c r="I266" s="26"/>
    </row>
    <row r="267" customHeight="1" spans="9:9">
      <c r="I267" s="26"/>
    </row>
    <row r="268" customHeight="1" spans="9:9">
      <c r="I268" s="26"/>
    </row>
    <row r="269" customHeight="1" spans="9:9">
      <c r="I269" s="26"/>
    </row>
    <row r="270" customHeight="1" spans="9:9">
      <c r="I270" s="26"/>
    </row>
    <row r="271" customHeight="1" spans="9:9">
      <c r="I271" s="26"/>
    </row>
    <row r="272" customHeight="1" spans="9:9">
      <c r="I272" s="26"/>
    </row>
    <row r="273" customHeight="1" spans="9:9">
      <c r="I273" s="26"/>
    </row>
    <row r="274" customHeight="1" spans="9:9">
      <c r="I274" s="26"/>
    </row>
    <row r="275" customHeight="1" spans="9:9">
      <c r="I275" s="26"/>
    </row>
    <row r="276" customHeight="1" spans="9:9">
      <c r="I276" s="26"/>
    </row>
    <row r="277" customHeight="1" spans="9:9">
      <c r="I277" s="26"/>
    </row>
    <row r="278" customHeight="1" spans="9:9">
      <c r="I278" s="26"/>
    </row>
    <row r="279" customHeight="1" spans="9:9">
      <c r="I279" s="26"/>
    </row>
    <row r="280" customHeight="1" spans="9:9">
      <c r="I280" s="26"/>
    </row>
    <row r="281" customHeight="1" spans="9:9">
      <c r="I281" s="26"/>
    </row>
    <row r="282" customHeight="1" spans="9:9">
      <c r="I282" s="26"/>
    </row>
    <row r="283" customHeight="1" spans="9:9">
      <c r="I283" s="26"/>
    </row>
    <row r="284" customHeight="1" spans="9:9">
      <c r="I284" s="26"/>
    </row>
    <row r="285" customHeight="1" spans="9:9">
      <c r="I285" s="26"/>
    </row>
    <row r="286" customHeight="1" spans="9:9">
      <c r="I286" s="26"/>
    </row>
    <row r="287" customHeight="1" spans="9:9">
      <c r="I287" s="26"/>
    </row>
    <row r="288" customHeight="1" spans="9:9">
      <c r="I288" s="26"/>
    </row>
    <row r="289" customHeight="1" spans="9:9">
      <c r="I289" s="26"/>
    </row>
    <row r="290" customHeight="1" spans="9:9">
      <c r="I290" s="26"/>
    </row>
    <row r="291" customHeight="1" spans="9:9">
      <c r="I291" s="26"/>
    </row>
    <row r="292" customHeight="1" spans="9:9">
      <c r="I292" s="26"/>
    </row>
    <row r="293" customHeight="1" spans="9:9">
      <c r="I293" s="26"/>
    </row>
    <row r="294" customHeight="1" spans="9:9">
      <c r="I294" s="26"/>
    </row>
    <row r="295" customHeight="1" spans="9:9">
      <c r="I295" s="26"/>
    </row>
    <row r="296" customHeight="1" spans="9:9">
      <c r="I296" s="26"/>
    </row>
    <row r="297" customHeight="1" spans="9:9">
      <c r="I297" s="26"/>
    </row>
    <row r="298" customHeight="1" spans="9:9">
      <c r="I298" s="26"/>
    </row>
    <row r="299" customHeight="1" spans="9:9">
      <c r="I299" s="26"/>
    </row>
    <row r="300" customHeight="1" spans="9:9">
      <c r="I300" s="26"/>
    </row>
    <row r="301" customHeight="1" spans="9:9">
      <c r="I301" s="26"/>
    </row>
    <row r="302" customHeight="1" spans="9:9">
      <c r="I302" s="26"/>
    </row>
    <row r="303" customHeight="1" spans="9:9">
      <c r="I303" s="26"/>
    </row>
    <row r="304" customHeight="1" spans="9:9">
      <c r="I304" s="26"/>
    </row>
    <row r="305" customHeight="1" spans="9:9">
      <c r="I305" s="26"/>
    </row>
    <row r="306" customHeight="1" spans="9:9">
      <c r="I306" s="26"/>
    </row>
    <row r="307" customHeight="1" spans="9:9">
      <c r="I307" s="26"/>
    </row>
    <row r="308" customHeight="1" spans="9:9">
      <c r="I308" s="26"/>
    </row>
    <row r="309" customHeight="1" spans="9:9">
      <c r="I309" s="26"/>
    </row>
    <row r="310" customHeight="1" spans="9:9">
      <c r="I310" s="26"/>
    </row>
    <row r="311" customHeight="1" spans="9:9">
      <c r="I311" s="26"/>
    </row>
    <row r="312" customHeight="1" spans="9:9">
      <c r="I312" s="26"/>
    </row>
    <row r="313" customHeight="1" spans="9:9">
      <c r="I313" s="26"/>
    </row>
    <row r="314" customHeight="1" spans="9:9">
      <c r="I314" s="26"/>
    </row>
    <row r="315" customHeight="1" spans="9:9">
      <c r="I315" s="26"/>
    </row>
    <row r="316" customHeight="1" spans="9:9">
      <c r="I316" s="26"/>
    </row>
    <row r="317" customHeight="1" spans="9:9">
      <c r="I317" s="26"/>
    </row>
    <row r="318" customHeight="1" spans="9:9">
      <c r="I318" s="26"/>
    </row>
    <row r="319" customHeight="1" spans="9:9">
      <c r="I319" s="26"/>
    </row>
    <row r="320" customHeight="1" spans="9:9">
      <c r="I320" s="26"/>
    </row>
    <row r="321" customHeight="1" spans="9:9">
      <c r="I321" s="26"/>
    </row>
    <row r="322" customHeight="1" spans="9:9">
      <c r="I322" s="26"/>
    </row>
    <row r="323" customHeight="1" spans="9:9">
      <c r="I323" s="26"/>
    </row>
    <row r="324" customHeight="1" spans="9:9">
      <c r="I324" s="26"/>
    </row>
    <row r="325" customHeight="1" spans="9:9">
      <c r="I325" s="26"/>
    </row>
    <row r="326" customHeight="1" spans="9:9">
      <c r="I326" s="26"/>
    </row>
    <row r="327" customHeight="1" spans="9:9">
      <c r="I327" s="26"/>
    </row>
    <row r="328" customHeight="1" spans="9:9">
      <c r="I328" s="26"/>
    </row>
    <row r="329" customHeight="1" spans="9:9">
      <c r="I329" s="26"/>
    </row>
    <row r="330" customHeight="1" spans="9:9">
      <c r="I330" s="26"/>
    </row>
    <row r="331" customHeight="1" spans="9:9">
      <c r="I331" s="26"/>
    </row>
    <row r="332" customHeight="1" spans="9:9">
      <c r="I332" s="26"/>
    </row>
    <row r="333" customHeight="1" spans="9:9">
      <c r="I333" s="26"/>
    </row>
    <row r="334" customHeight="1" spans="9:9">
      <c r="I334" s="26"/>
    </row>
    <row r="335" customHeight="1" spans="9:9">
      <c r="I335" s="26"/>
    </row>
    <row r="336" customHeight="1" spans="9:9">
      <c r="I336" s="26"/>
    </row>
    <row r="337" customHeight="1" spans="9:9">
      <c r="I337" s="26"/>
    </row>
    <row r="338" customHeight="1" spans="9:9">
      <c r="I338" s="26"/>
    </row>
    <row r="339" customHeight="1" spans="9:9">
      <c r="I339" s="26"/>
    </row>
    <row r="340" customHeight="1" spans="9:9">
      <c r="I340" s="26"/>
    </row>
    <row r="341" customHeight="1" spans="9:9">
      <c r="I341" s="26"/>
    </row>
    <row r="342" customHeight="1" spans="9:9">
      <c r="I342" s="26"/>
    </row>
    <row r="343" customHeight="1" spans="9:9">
      <c r="I343" s="26"/>
    </row>
    <row r="344" customHeight="1" spans="9:9">
      <c r="I344" s="26"/>
    </row>
    <row r="345" customHeight="1" spans="9:9">
      <c r="I345" s="26"/>
    </row>
    <row r="346" customHeight="1" spans="9:9">
      <c r="I346" s="26"/>
    </row>
    <row r="347" customHeight="1" spans="9:9">
      <c r="I347" s="26"/>
    </row>
    <row r="348" customHeight="1" spans="9:9">
      <c r="I348" s="26"/>
    </row>
    <row r="349" customHeight="1" spans="9:9">
      <c r="I349" s="26"/>
    </row>
    <row r="350" customHeight="1" spans="9:9">
      <c r="I350" s="26"/>
    </row>
    <row r="351" customHeight="1" spans="9:9">
      <c r="I351" s="26"/>
    </row>
    <row r="352" customHeight="1" spans="9:9">
      <c r="I352" s="26"/>
    </row>
    <row r="353" customHeight="1" spans="9:9">
      <c r="I353" s="26"/>
    </row>
    <row r="354" customHeight="1" spans="9:9">
      <c r="I354" s="26"/>
    </row>
    <row r="355" customHeight="1" spans="9:9">
      <c r="I355" s="26"/>
    </row>
    <row r="356" customHeight="1" spans="9:9">
      <c r="I356" s="26"/>
    </row>
    <row r="357" customHeight="1" spans="9:9">
      <c r="I357" s="26"/>
    </row>
    <row r="358" customHeight="1" spans="9:9">
      <c r="I358" s="26"/>
    </row>
    <row r="359" customHeight="1" spans="9:9">
      <c r="I359" s="26"/>
    </row>
    <row r="360" customHeight="1" spans="9:9">
      <c r="I360" s="26"/>
    </row>
    <row r="361" customHeight="1" spans="9:9">
      <c r="I361" s="26"/>
    </row>
    <row r="362" customHeight="1" spans="9:9">
      <c r="I362" s="26"/>
    </row>
    <row r="363" customHeight="1" spans="9:9">
      <c r="I363" s="26"/>
    </row>
    <row r="364" customHeight="1" spans="9:9">
      <c r="I364" s="26"/>
    </row>
    <row r="365" customHeight="1" spans="9:9">
      <c r="I365" s="26"/>
    </row>
    <row r="366" customHeight="1" spans="9:9">
      <c r="I366" s="26"/>
    </row>
    <row r="367" customHeight="1" spans="9:9">
      <c r="I367" s="26"/>
    </row>
    <row r="368" customHeight="1" spans="9:9">
      <c r="I368" s="26"/>
    </row>
    <row r="369" customHeight="1" spans="9:9">
      <c r="I369" s="26"/>
    </row>
    <row r="370" customHeight="1" spans="9:9">
      <c r="I370" s="26"/>
    </row>
    <row r="371" customHeight="1" spans="9:9">
      <c r="I371" s="26"/>
    </row>
    <row r="372" customHeight="1" spans="9:9">
      <c r="I372" s="26"/>
    </row>
    <row r="373" customHeight="1" spans="9:9">
      <c r="I373" s="26"/>
    </row>
    <row r="374" customHeight="1" spans="9:9">
      <c r="I374" s="26"/>
    </row>
    <row r="375" customHeight="1" spans="9:9">
      <c r="I375" s="26"/>
    </row>
    <row r="376" customHeight="1" spans="9:9">
      <c r="I376" s="26"/>
    </row>
    <row r="377" customHeight="1" spans="9:9">
      <c r="I377" s="26"/>
    </row>
    <row r="378" customHeight="1" spans="9:9">
      <c r="I378" s="26"/>
    </row>
    <row r="379" customHeight="1" spans="9:9">
      <c r="I379" s="26"/>
    </row>
    <row r="380" customHeight="1" spans="9:9">
      <c r="I380" s="26"/>
    </row>
    <row r="381" customHeight="1" spans="9:9">
      <c r="I381" s="26"/>
    </row>
    <row r="382" customHeight="1" spans="9:9">
      <c r="I382" s="26"/>
    </row>
    <row r="383" customHeight="1" spans="9:9">
      <c r="I383" s="26"/>
    </row>
    <row r="384" customHeight="1" spans="9:9">
      <c r="I384" s="26"/>
    </row>
    <row r="385" customHeight="1" spans="9:9">
      <c r="I385" s="26"/>
    </row>
    <row r="386" customHeight="1" spans="9:9">
      <c r="I386" s="26"/>
    </row>
    <row r="387" customHeight="1" spans="9:9">
      <c r="I387" s="26"/>
    </row>
    <row r="388" customHeight="1" spans="9:9">
      <c r="I388" s="26"/>
    </row>
    <row r="389" customHeight="1" spans="9:9">
      <c r="I389" s="26"/>
    </row>
    <row r="390" customHeight="1" spans="9:9">
      <c r="I390" s="26"/>
    </row>
    <row r="391" customHeight="1" spans="9:9">
      <c r="I391" s="26"/>
    </row>
    <row r="392" customHeight="1" spans="9:9">
      <c r="I392" s="26"/>
    </row>
    <row r="393" customHeight="1" spans="9:9">
      <c r="I393" s="26"/>
    </row>
    <row r="394" customHeight="1" spans="9:9">
      <c r="I394" s="26"/>
    </row>
    <row r="395" customHeight="1" spans="9:9">
      <c r="I395" s="26"/>
    </row>
    <row r="396" customHeight="1" spans="9:9">
      <c r="I396" s="26"/>
    </row>
    <row r="397" customHeight="1" spans="9:9">
      <c r="I397" s="26"/>
    </row>
    <row r="398" customHeight="1" spans="9:9">
      <c r="I398" s="26"/>
    </row>
    <row r="399" customHeight="1" spans="9:9">
      <c r="I399" s="26"/>
    </row>
    <row r="400" customHeight="1" spans="9:9">
      <c r="I400" s="26"/>
    </row>
    <row r="401" customHeight="1" spans="9:9">
      <c r="I401" s="26"/>
    </row>
    <row r="402" customHeight="1" spans="9:9">
      <c r="I402" s="26"/>
    </row>
    <row r="403" customHeight="1" spans="9:9">
      <c r="I403" s="26"/>
    </row>
    <row r="404" customHeight="1" spans="9:9">
      <c r="I404" s="26"/>
    </row>
    <row r="405" customHeight="1" spans="9:9">
      <c r="I405" s="26"/>
    </row>
    <row r="406" customHeight="1" spans="9:9">
      <c r="I406" s="26"/>
    </row>
    <row r="407" customHeight="1" spans="9:9">
      <c r="I407" s="26"/>
    </row>
    <row r="408" customHeight="1" spans="9:9">
      <c r="I408" s="26"/>
    </row>
    <row r="409" customHeight="1" spans="9:9">
      <c r="I409" s="26"/>
    </row>
    <row r="410" customHeight="1" spans="9:9">
      <c r="I410" s="26"/>
    </row>
    <row r="411" customHeight="1" spans="9:9">
      <c r="I411" s="26"/>
    </row>
    <row r="412" customHeight="1" spans="9:9">
      <c r="I412" s="26"/>
    </row>
    <row r="413" customHeight="1" spans="9:9">
      <c r="I413" s="26"/>
    </row>
    <row r="414" customHeight="1" spans="9:9">
      <c r="I414" s="26"/>
    </row>
    <row r="415" customHeight="1" spans="9:9">
      <c r="I415" s="26"/>
    </row>
    <row r="416" customHeight="1" spans="9:9">
      <c r="I416" s="26"/>
    </row>
    <row r="417" customHeight="1" spans="9:9">
      <c r="I417" s="26"/>
    </row>
    <row r="418" customHeight="1" spans="9:9">
      <c r="I418" s="26"/>
    </row>
    <row r="419" customHeight="1" spans="9:9">
      <c r="I419" s="26"/>
    </row>
    <row r="420" customHeight="1" spans="9:9">
      <c r="I420" s="26"/>
    </row>
    <row r="421" customHeight="1" spans="9:9">
      <c r="I421" s="26"/>
    </row>
    <row r="422" customHeight="1" spans="9:9">
      <c r="I422" s="26"/>
    </row>
    <row r="423" customHeight="1" spans="9:9">
      <c r="I423" s="26"/>
    </row>
    <row r="424" customHeight="1" spans="9:9">
      <c r="I424" s="26"/>
    </row>
    <row r="425" customHeight="1" spans="9:9">
      <c r="I425" s="26"/>
    </row>
    <row r="426" customHeight="1" spans="9:9">
      <c r="I426" s="26"/>
    </row>
    <row r="427" customHeight="1" spans="9:9">
      <c r="I427" s="26"/>
    </row>
    <row r="428" customHeight="1" spans="9:9">
      <c r="I428" s="26"/>
    </row>
    <row r="429" customHeight="1" spans="9:9">
      <c r="I429" s="26"/>
    </row>
    <row r="430" customHeight="1" spans="9:9">
      <c r="I430" s="26"/>
    </row>
    <row r="431" customHeight="1" spans="9:9">
      <c r="I431" s="26"/>
    </row>
    <row r="432" customHeight="1" spans="9:9">
      <c r="I432" s="26"/>
    </row>
    <row r="433" customHeight="1" spans="9:9">
      <c r="I433" s="26"/>
    </row>
    <row r="434" customHeight="1" spans="9:9">
      <c r="I434" s="26"/>
    </row>
    <row r="435" customHeight="1" spans="9:9">
      <c r="I435" s="26"/>
    </row>
    <row r="436" customHeight="1" spans="9:9">
      <c r="I436" s="26"/>
    </row>
    <row r="437" customHeight="1" spans="9:9">
      <c r="I437" s="26"/>
    </row>
    <row r="438" customHeight="1" spans="9:9">
      <c r="I438" s="26"/>
    </row>
    <row r="439" customHeight="1" spans="9:9">
      <c r="I439" s="26"/>
    </row>
    <row r="440" customHeight="1" spans="9:9">
      <c r="I440" s="26"/>
    </row>
    <row r="441" customHeight="1" spans="9:9">
      <c r="I441" s="26"/>
    </row>
    <row r="442" customHeight="1" spans="9:9">
      <c r="I442" s="26"/>
    </row>
    <row r="443" customHeight="1" spans="9:9">
      <c r="I443" s="26"/>
    </row>
    <row r="444" customHeight="1" spans="9:9">
      <c r="I444" s="26"/>
    </row>
    <row r="445" customHeight="1" spans="9:9">
      <c r="I445" s="26"/>
    </row>
    <row r="446" customHeight="1" spans="9:9">
      <c r="I446" s="26"/>
    </row>
    <row r="447" customHeight="1" spans="9:9">
      <c r="I447" s="26"/>
    </row>
    <row r="448" customHeight="1" spans="9:9">
      <c r="I448" s="26"/>
    </row>
    <row r="449" customHeight="1" spans="9:9">
      <c r="I449" s="26"/>
    </row>
    <row r="450" customHeight="1" spans="9:9">
      <c r="I450" s="26"/>
    </row>
    <row r="451" customHeight="1" spans="9:9">
      <c r="I451" s="26"/>
    </row>
    <row r="452" customHeight="1" spans="9:9">
      <c r="I452" s="26"/>
    </row>
    <row r="453" customHeight="1" spans="9:9">
      <c r="I453" s="26"/>
    </row>
    <row r="454" customHeight="1" spans="9:9">
      <c r="I454" s="26"/>
    </row>
    <row r="455" customHeight="1" spans="9:9">
      <c r="I455" s="26"/>
    </row>
    <row r="456" customHeight="1" spans="9:9">
      <c r="I456" s="26"/>
    </row>
    <row r="457" customHeight="1" spans="9:9">
      <c r="I457" s="26"/>
    </row>
    <row r="458" customHeight="1" spans="9:9">
      <c r="I458" s="26"/>
    </row>
    <row r="459" customHeight="1" spans="9:9">
      <c r="I459" s="26"/>
    </row>
    <row r="460" customHeight="1" spans="9:9">
      <c r="I460" s="26"/>
    </row>
    <row r="461" customHeight="1" spans="9:9">
      <c r="I461" s="26"/>
    </row>
    <row r="462" customHeight="1" spans="9:9">
      <c r="I462" s="26"/>
    </row>
    <row r="463" customHeight="1" spans="9:9">
      <c r="I463" s="26"/>
    </row>
    <row r="464" customHeight="1" spans="9:9">
      <c r="I464" s="26"/>
    </row>
    <row r="465" customHeight="1" spans="9:9">
      <c r="I465" s="26"/>
    </row>
    <row r="466" customHeight="1" spans="9:9">
      <c r="I466" s="26"/>
    </row>
    <row r="467" customHeight="1" spans="9:9">
      <c r="I467" s="26"/>
    </row>
    <row r="468" customHeight="1" spans="9:9">
      <c r="I468" s="26"/>
    </row>
    <row r="469" customHeight="1" spans="9:9">
      <c r="I469" s="26"/>
    </row>
    <row r="470" customHeight="1" spans="9:9">
      <c r="I470" s="26"/>
    </row>
    <row r="471" customHeight="1" spans="9:9">
      <c r="I471" s="26"/>
    </row>
    <row r="472" customHeight="1" spans="9:9">
      <c r="I472" s="26"/>
    </row>
    <row r="473" customHeight="1" spans="9:9">
      <c r="I473" s="26"/>
    </row>
    <row r="474" customHeight="1" spans="9:9">
      <c r="I474" s="26"/>
    </row>
    <row r="475" customHeight="1" spans="9:9">
      <c r="I475" s="26"/>
    </row>
    <row r="476" customHeight="1" spans="9:9">
      <c r="I476" s="26"/>
    </row>
    <row r="477" customHeight="1" spans="9:9">
      <c r="I477" s="26"/>
    </row>
    <row r="478" customHeight="1" spans="9:9">
      <c r="I478" s="26"/>
    </row>
    <row r="479" customHeight="1" spans="9:9">
      <c r="I479" s="26"/>
    </row>
    <row r="480" customHeight="1" spans="9:9">
      <c r="I480" s="26"/>
    </row>
    <row r="481" customHeight="1" spans="9:9">
      <c r="I481" s="26"/>
    </row>
    <row r="482" customHeight="1" spans="9:9">
      <c r="I482" s="26"/>
    </row>
    <row r="483" customHeight="1" spans="9:9">
      <c r="I483" s="26"/>
    </row>
    <row r="484" customHeight="1" spans="9:9">
      <c r="I484" s="26"/>
    </row>
    <row r="485" customHeight="1" spans="9:9">
      <c r="I485" s="26"/>
    </row>
    <row r="486" customHeight="1" spans="9:9">
      <c r="I486" s="26"/>
    </row>
    <row r="487" customHeight="1" spans="9:9">
      <c r="I487" s="26"/>
    </row>
    <row r="488" customHeight="1" spans="9:9">
      <c r="I488" s="26"/>
    </row>
    <row r="489" customHeight="1" spans="9:9">
      <c r="I489" s="26"/>
    </row>
    <row r="490" customHeight="1" spans="9:9">
      <c r="I490" s="26"/>
    </row>
    <row r="491" customHeight="1" spans="9:9">
      <c r="I491" s="26"/>
    </row>
    <row r="492" customHeight="1" spans="9:9">
      <c r="I492" s="26"/>
    </row>
    <row r="493" customHeight="1" spans="9:9">
      <c r="I493" s="26"/>
    </row>
    <row r="494" customHeight="1" spans="9:9">
      <c r="I494" s="26"/>
    </row>
    <row r="495" customHeight="1" spans="9:9">
      <c r="I495" s="26"/>
    </row>
    <row r="496" customHeight="1" spans="9:9">
      <c r="I496" s="26"/>
    </row>
    <row r="497" customHeight="1" spans="9:9">
      <c r="I497" s="26"/>
    </row>
    <row r="498" customHeight="1" spans="9:9">
      <c r="I498" s="26"/>
    </row>
    <row r="499" customHeight="1" spans="9:9">
      <c r="I499" s="26"/>
    </row>
    <row r="500" customHeight="1" spans="9:9">
      <c r="I500" s="26"/>
    </row>
    <row r="501" customHeight="1" spans="9:9">
      <c r="I501" s="26"/>
    </row>
    <row r="502" customHeight="1" spans="9:9">
      <c r="I502" s="26"/>
    </row>
    <row r="503" customHeight="1" spans="9:9">
      <c r="I503" s="26"/>
    </row>
    <row r="504" customHeight="1" spans="9:9">
      <c r="I504" s="26"/>
    </row>
    <row r="505" customHeight="1" spans="9:9">
      <c r="I505" s="26"/>
    </row>
    <row r="506" customHeight="1" spans="9:9">
      <c r="I506" s="26"/>
    </row>
    <row r="507" customHeight="1" spans="9:9">
      <c r="I507" s="26"/>
    </row>
    <row r="508" customHeight="1" spans="9:9">
      <c r="I508" s="26"/>
    </row>
    <row r="509" customHeight="1" spans="9:9">
      <c r="I509" s="26"/>
    </row>
    <row r="510" customHeight="1" spans="9:9">
      <c r="I510" s="26"/>
    </row>
    <row r="511" customHeight="1" spans="9:9">
      <c r="I511" s="26"/>
    </row>
    <row r="512" customHeight="1" spans="9:9">
      <c r="I512" s="26"/>
    </row>
    <row r="513" customHeight="1" spans="9:9">
      <c r="I513" s="26"/>
    </row>
    <row r="514" customHeight="1" spans="9:9">
      <c r="I514" s="26"/>
    </row>
    <row r="515" customHeight="1" spans="9:9">
      <c r="I515" s="26"/>
    </row>
    <row r="516" customHeight="1" spans="9:9">
      <c r="I516" s="26"/>
    </row>
    <row r="517" customHeight="1" spans="9:9">
      <c r="I517" s="26"/>
    </row>
    <row r="518" customHeight="1" spans="9:9">
      <c r="I518" s="26"/>
    </row>
    <row r="519" customHeight="1" spans="9:9">
      <c r="I519" s="26"/>
    </row>
    <row r="520" customHeight="1" spans="9:9">
      <c r="I520" s="26"/>
    </row>
    <row r="521" customHeight="1" spans="9:9">
      <c r="I521" s="26"/>
    </row>
    <row r="522" customHeight="1" spans="9:9">
      <c r="I522" s="26"/>
    </row>
    <row r="523" customHeight="1" spans="9:9">
      <c r="I523" s="26"/>
    </row>
    <row r="524" customHeight="1" spans="9:9">
      <c r="I524" s="26"/>
    </row>
    <row r="525" customHeight="1" spans="9:9">
      <c r="I525" s="26"/>
    </row>
    <row r="526" customHeight="1" spans="9:9">
      <c r="I526" s="26"/>
    </row>
    <row r="527" customHeight="1" spans="9:9">
      <c r="I527" s="26"/>
    </row>
    <row r="528" customHeight="1" spans="9:9">
      <c r="I528" s="26"/>
    </row>
    <row r="529" customHeight="1" spans="9:9">
      <c r="I529" s="26"/>
    </row>
    <row r="530" customHeight="1" spans="9:9">
      <c r="I530" s="26"/>
    </row>
    <row r="531" customHeight="1" spans="9:9">
      <c r="I531" s="26"/>
    </row>
    <row r="532" customHeight="1" spans="9:9">
      <c r="I532" s="26"/>
    </row>
    <row r="533" customHeight="1" spans="9:9">
      <c r="I533" s="26"/>
    </row>
    <row r="534" customHeight="1" spans="9:9">
      <c r="I534" s="26"/>
    </row>
    <row r="535" customHeight="1" spans="9:9">
      <c r="I535" s="26"/>
    </row>
    <row r="536" customHeight="1" spans="9:9">
      <c r="I536" s="26"/>
    </row>
    <row r="537" customHeight="1" spans="9:9">
      <c r="I537" s="26"/>
    </row>
    <row r="538" customHeight="1" spans="9:9">
      <c r="I538" s="26"/>
    </row>
    <row r="539" customHeight="1" spans="9:9">
      <c r="I539" s="26"/>
    </row>
    <row r="540" customHeight="1" spans="9:9">
      <c r="I540" s="26"/>
    </row>
    <row r="541" customHeight="1" spans="9:9">
      <c r="I541" s="26"/>
    </row>
    <row r="542" customHeight="1" spans="9:9">
      <c r="I542" s="26"/>
    </row>
    <row r="543" customHeight="1" spans="9:9">
      <c r="I543" s="26"/>
    </row>
    <row r="544" customHeight="1" spans="9:9">
      <c r="I544" s="26"/>
    </row>
    <row r="545" customHeight="1" spans="9:9">
      <c r="I545" s="26"/>
    </row>
    <row r="546" customHeight="1" spans="9:9">
      <c r="I546" s="26"/>
    </row>
    <row r="547" customHeight="1" spans="9:9">
      <c r="I547" s="26"/>
    </row>
    <row r="548" customHeight="1" spans="9:9">
      <c r="I548" s="26"/>
    </row>
    <row r="549" customHeight="1" spans="9:9">
      <c r="I549" s="26"/>
    </row>
    <row r="550" customHeight="1" spans="9:9">
      <c r="I550" s="26"/>
    </row>
    <row r="551" customHeight="1" spans="9:9">
      <c r="I551" s="26"/>
    </row>
    <row r="552" customHeight="1" spans="9:9">
      <c r="I552" s="26"/>
    </row>
    <row r="553" customHeight="1" spans="9:9">
      <c r="I553" s="26"/>
    </row>
    <row r="554" customHeight="1" spans="9:9">
      <c r="I554" s="26"/>
    </row>
    <row r="555" customHeight="1" spans="9:9">
      <c r="I555" s="26"/>
    </row>
    <row r="556" customHeight="1" spans="9:9">
      <c r="I556" s="26"/>
    </row>
    <row r="557" customHeight="1" spans="9:9">
      <c r="I557" s="26"/>
    </row>
    <row r="558" customHeight="1" spans="9:9">
      <c r="I558" s="26"/>
    </row>
    <row r="559" customHeight="1" spans="9:9">
      <c r="I559" s="26"/>
    </row>
    <row r="560" customHeight="1" spans="9:9">
      <c r="I560" s="26"/>
    </row>
    <row r="561" customHeight="1" spans="9:9">
      <c r="I561" s="26"/>
    </row>
    <row r="562" customHeight="1" spans="9:9">
      <c r="I562" s="26"/>
    </row>
    <row r="563" customHeight="1" spans="9:9">
      <c r="I563" s="26"/>
    </row>
    <row r="564" customHeight="1" spans="9:9">
      <c r="I564" s="26"/>
    </row>
    <row r="565" customHeight="1" spans="9:9">
      <c r="I565" s="26"/>
    </row>
    <row r="566" customHeight="1" spans="9:9">
      <c r="I566" s="26"/>
    </row>
    <row r="567" customHeight="1" spans="9:9">
      <c r="I567" s="26"/>
    </row>
    <row r="568" customHeight="1" spans="9:9">
      <c r="I568" s="26"/>
    </row>
    <row r="569" customHeight="1" spans="9:9">
      <c r="I569" s="26"/>
    </row>
    <row r="570" customHeight="1" spans="9:9">
      <c r="I570" s="26"/>
    </row>
    <row r="571" customHeight="1" spans="9:9">
      <c r="I571" s="26"/>
    </row>
    <row r="572" customHeight="1" spans="9:9">
      <c r="I572" s="26"/>
    </row>
    <row r="573" customHeight="1" spans="9:9">
      <c r="I573" s="26"/>
    </row>
    <row r="574" customHeight="1" spans="9:9">
      <c r="I574" s="26"/>
    </row>
    <row r="575" customHeight="1" spans="9:9">
      <c r="I575" s="26"/>
    </row>
    <row r="576" customHeight="1" spans="9:9">
      <c r="I576" s="26"/>
    </row>
    <row r="577" customHeight="1" spans="9:9">
      <c r="I577" s="26"/>
    </row>
    <row r="578" customHeight="1" spans="9:9">
      <c r="I578" s="26"/>
    </row>
    <row r="579" customHeight="1" spans="9:9">
      <c r="I579" s="26"/>
    </row>
    <row r="580" customHeight="1" spans="9:9">
      <c r="I580" s="26"/>
    </row>
    <row r="581" customHeight="1" spans="9:9">
      <c r="I581" s="26"/>
    </row>
    <row r="582" customHeight="1" spans="9:9">
      <c r="I582" s="26"/>
    </row>
    <row r="583" customHeight="1" spans="9:9">
      <c r="I583" s="26"/>
    </row>
    <row r="584" customHeight="1" spans="9:9">
      <c r="I584" s="26"/>
    </row>
    <row r="585" customHeight="1" spans="9:9">
      <c r="I585" s="26"/>
    </row>
    <row r="586" customHeight="1" spans="9:9">
      <c r="I586" s="26"/>
    </row>
    <row r="587" customHeight="1" spans="9:9">
      <c r="I587" s="26"/>
    </row>
    <row r="588" customHeight="1" spans="9:9">
      <c r="I588" s="26"/>
    </row>
    <row r="589" customHeight="1" spans="9:9">
      <c r="I589" s="26"/>
    </row>
    <row r="590" customHeight="1" spans="9:9">
      <c r="I590" s="26"/>
    </row>
    <row r="591" customHeight="1" spans="9:9">
      <c r="I591" s="26"/>
    </row>
    <row r="592" customHeight="1" spans="9:9">
      <c r="I592" s="26"/>
    </row>
    <row r="593" customHeight="1" spans="9:9">
      <c r="I593" s="26"/>
    </row>
    <row r="594" customHeight="1" spans="9:9">
      <c r="I594" s="26"/>
    </row>
    <row r="595" customHeight="1" spans="9:9">
      <c r="I595" s="26"/>
    </row>
    <row r="596" customHeight="1" spans="9:9">
      <c r="I596" s="26"/>
    </row>
    <row r="597" customHeight="1" spans="9:9">
      <c r="I597" s="26"/>
    </row>
    <row r="598" customHeight="1" spans="9:9">
      <c r="I598" s="26"/>
    </row>
    <row r="599" customHeight="1" spans="9:9">
      <c r="I599" s="26"/>
    </row>
    <row r="600" customHeight="1" spans="9:9">
      <c r="I600" s="26"/>
    </row>
    <row r="601" customHeight="1" spans="9:9">
      <c r="I601" s="26"/>
    </row>
    <row r="602" customHeight="1" spans="9:9">
      <c r="I602" s="26"/>
    </row>
    <row r="603" customHeight="1" spans="9:9">
      <c r="I603" s="26"/>
    </row>
    <row r="604" customHeight="1" spans="9:9">
      <c r="I604" s="26"/>
    </row>
    <row r="605" customHeight="1" spans="9:9">
      <c r="I605" s="26"/>
    </row>
    <row r="606" customHeight="1" spans="9:9">
      <c r="I606" s="26"/>
    </row>
    <row r="607" customHeight="1" spans="9:9">
      <c r="I607" s="26"/>
    </row>
    <row r="608" customHeight="1" spans="9:9">
      <c r="I608" s="26"/>
    </row>
    <row r="609" customHeight="1" spans="9:9">
      <c r="I609" s="26"/>
    </row>
    <row r="610" customHeight="1" spans="9:9">
      <c r="I610" s="26"/>
    </row>
    <row r="611" customHeight="1" spans="9:9">
      <c r="I611" s="26"/>
    </row>
    <row r="612" customHeight="1" spans="9:9">
      <c r="I612" s="26"/>
    </row>
    <row r="613" customHeight="1" spans="9:9">
      <c r="I613" s="26"/>
    </row>
    <row r="614" customHeight="1" spans="9:9">
      <c r="I614" s="26"/>
    </row>
    <row r="615" customHeight="1" spans="9:9">
      <c r="I615" s="26"/>
    </row>
    <row r="616" customHeight="1" spans="9:9">
      <c r="I616" s="26"/>
    </row>
    <row r="617" customHeight="1" spans="9:9">
      <c r="I617" s="26"/>
    </row>
    <row r="618" customHeight="1" spans="9:9">
      <c r="I618" s="26"/>
    </row>
    <row r="619" customHeight="1" spans="9:9">
      <c r="I619" s="26"/>
    </row>
    <row r="620" customHeight="1" spans="9:9">
      <c r="I620" s="26"/>
    </row>
    <row r="621" customHeight="1" spans="9:9">
      <c r="I621" s="26"/>
    </row>
    <row r="622" customHeight="1" spans="9:9">
      <c r="I622" s="26"/>
    </row>
    <row r="623" customHeight="1" spans="9:9">
      <c r="I623" s="26"/>
    </row>
    <row r="624" customHeight="1" spans="9:9">
      <c r="I624" s="26"/>
    </row>
    <row r="625" customHeight="1" spans="9:9">
      <c r="I625" s="26"/>
    </row>
    <row r="626" customHeight="1" spans="9:9">
      <c r="I626" s="26"/>
    </row>
    <row r="627" customHeight="1" spans="9:9">
      <c r="I627" s="26"/>
    </row>
    <row r="628" customHeight="1" spans="9:9">
      <c r="I628" s="26"/>
    </row>
    <row r="629" customHeight="1" spans="9:9">
      <c r="I629" s="26"/>
    </row>
    <row r="630" customHeight="1" spans="9:9">
      <c r="I630" s="26"/>
    </row>
    <row r="631" customHeight="1" spans="9:9">
      <c r="I631" s="26"/>
    </row>
    <row r="632" customHeight="1" spans="9:9">
      <c r="I632" s="26"/>
    </row>
    <row r="633" customHeight="1" spans="9:9">
      <c r="I633" s="26"/>
    </row>
    <row r="634" customHeight="1" spans="9:9">
      <c r="I634" s="26"/>
    </row>
    <row r="635" customHeight="1" spans="9:9">
      <c r="I635" s="26"/>
    </row>
    <row r="636" customHeight="1" spans="9:9">
      <c r="I636" s="26"/>
    </row>
    <row r="637" customHeight="1" spans="9:9">
      <c r="I637" s="26"/>
    </row>
    <row r="638" customHeight="1" spans="9:9">
      <c r="I638" s="26"/>
    </row>
    <row r="639" customHeight="1" spans="9:9">
      <c r="I639" s="26"/>
    </row>
    <row r="640" customHeight="1" spans="9:9">
      <c r="I640" s="26"/>
    </row>
    <row r="641" customHeight="1" spans="9:9">
      <c r="I641" s="26"/>
    </row>
    <row r="642" customHeight="1" spans="9:9">
      <c r="I642" s="26"/>
    </row>
    <row r="643" customHeight="1" spans="9:9">
      <c r="I643" s="26"/>
    </row>
    <row r="644" customHeight="1" spans="9:9">
      <c r="I644" s="26"/>
    </row>
    <row r="645" customHeight="1" spans="9:9">
      <c r="I645" s="26"/>
    </row>
    <row r="646" customHeight="1" spans="9:9">
      <c r="I646" s="26"/>
    </row>
    <row r="647" customHeight="1" spans="9:9">
      <c r="I647" s="26"/>
    </row>
    <row r="648" customHeight="1" spans="9:9">
      <c r="I648" s="26"/>
    </row>
    <row r="649" customHeight="1" spans="9:9">
      <c r="I649" s="26"/>
    </row>
    <row r="650" customHeight="1" spans="9:9">
      <c r="I650" s="26"/>
    </row>
    <row r="651" customHeight="1" spans="9:9">
      <c r="I651" s="26"/>
    </row>
    <row r="652" customHeight="1" spans="9:9">
      <c r="I652" s="26"/>
    </row>
    <row r="653" customHeight="1" spans="9:9">
      <c r="I653" s="26"/>
    </row>
    <row r="654" customHeight="1" spans="9:9">
      <c r="I654" s="26"/>
    </row>
    <row r="655" customHeight="1" spans="9:9">
      <c r="I655" s="26"/>
    </row>
    <row r="656" customHeight="1" spans="9:9">
      <c r="I656" s="26"/>
    </row>
    <row r="657" customHeight="1" spans="9:9">
      <c r="I657" s="26"/>
    </row>
    <row r="658" customHeight="1" spans="9:9">
      <c r="I658" s="26"/>
    </row>
    <row r="659" customHeight="1" spans="9:9">
      <c r="I659" s="26"/>
    </row>
    <row r="660" customHeight="1" spans="9:9">
      <c r="I660" s="26"/>
    </row>
    <row r="661" customHeight="1" spans="9:9">
      <c r="I661" s="26"/>
    </row>
    <row r="662" customHeight="1" spans="9:9">
      <c r="I662" s="26"/>
    </row>
    <row r="663" customHeight="1" spans="9:9">
      <c r="I663" s="26"/>
    </row>
    <row r="664" customHeight="1" spans="9:9">
      <c r="I664" s="26"/>
    </row>
    <row r="665" customHeight="1" spans="9:9">
      <c r="I665" s="26"/>
    </row>
    <row r="666" customHeight="1" spans="9:9">
      <c r="I666" s="26"/>
    </row>
    <row r="667" customHeight="1" spans="9:9">
      <c r="I667" s="26"/>
    </row>
    <row r="668" customHeight="1" spans="9:9">
      <c r="I668" s="26"/>
    </row>
    <row r="669" customHeight="1" spans="9:9">
      <c r="I669" s="26"/>
    </row>
    <row r="670" customHeight="1" spans="9:9">
      <c r="I670" s="26"/>
    </row>
    <row r="671" customHeight="1" spans="9:9">
      <c r="I671" s="26"/>
    </row>
    <row r="672" customHeight="1" spans="9:9">
      <c r="I672" s="26"/>
    </row>
    <row r="673" customHeight="1" spans="9:9">
      <c r="I673" s="26"/>
    </row>
    <row r="674" customHeight="1" spans="9:9">
      <c r="I674" s="26"/>
    </row>
    <row r="675" customHeight="1" spans="9:9">
      <c r="I675" s="26"/>
    </row>
    <row r="676" customHeight="1" spans="9:9">
      <c r="I676" s="26"/>
    </row>
    <row r="677" customHeight="1" spans="9:9">
      <c r="I677" s="26"/>
    </row>
    <row r="678" customHeight="1" spans="9:9">
      <c r="I678" s="26"/>
    </row>
    <row r="679" customHeight="1" spans="9:9">
      <c r="I679" s="26"/>
    </row>
    <row r="680" customHeight="1" spans="9:9">
      <c r="I680" s="26"/>
    </row>
    <row r="681" customHeight="1" spans="9:9">
      <c r="I681" s="26"/>
    </row>
    <row r="682" customHeight="1" spans="9:9">
      <c r="I682" s="26"/>
    </row>
    <row r="683" customHeight="1" spans="9:9">
      <c r="I683" s="26"/>
    </row>
    <row r="684" customHeight="1" spans="9:9">
      <c r="I684" s="26"/>
    </row>
    <row r="685" customHeight="1" spans="9:9">
      <c r="I685" s="26"/>
    </row>
    <row r="686" customHeight="1" spans="9:9">
      <c r="I686" s="26"/>
    </row>
    <row r="687" customHeight="1" spans="9:9">
      <c r="I687" s="26"/>
    </row>
    <row r="688" customHeight="1" spans="9:9">
      <c r="I688" s="26"/>
    </row>
    <row r="689" customHeight="1" spans="9:9">
      <c r="I689" s="26"/>
    </row>
    <row r="690" customHeight="1" spans="9:9">
      <c r="I690" s="26"/>
    </row>
    <row r="691" customHeight="1" spans="9:9">
      <c r="I691" s="26"/>
    </row>
    <row r="692" customHeight="1" spans="9:9">
      <c r="I692" s="26"/>
    </row>
    <row r="693" customHeight="1" spans="9:9">
      <c r="I693" s="26"/>
    </row>
    <row r="694" customHeight="1" spans="9:9">
      <c r="I694" s="26"/>
    </row>
    <row r="695" customHeight="1" spans="9:9">
      <c r="I695" s="26"/>
    </row>
    <row r="696" customHeight="1" spans="9:9">
      <c r="I696" s="26"/>
    </row>
    <row r="697" customHeight="1" spans="9:9">
      <c r="I697" s="26"/>
    </row>
    <row r="698" customHeight="1" spans="9:9">
      <c r="I698" s="26"/>
    </row>
    <row r="699" customHeight="1" spans="9:9">
      <c r="I699" s="26"/>
    </row>
    <row r="700" customHeight="1" spans="9:9">
      <c r="I700" s="26"/>
    </row>
    <row r="701" customHeight="1" spans="9:9">
      <c r="I701" s="26"/>
    </row>
    <row r="702" customHeight="1" spans="9:9">
      <c r="I702" s="26"/>
    </row>
    <row r="703" customHeight="1" spans="9:9">
      <c r="I703" s="26"/>
    </row>
    <row r="704" customHeight="1" spans="9:9">
      <c r="I704" s="26"/>
    </row>
    <row r="705" customHeight="1" spans="9:9">
      <c r="I705" s="26"/>
    </row>
    <row r="706" customHeight="1" spans="9:9">
      <c r="I706" s="26"/>
    </row>
    <row r="707" customHeight="1" spans="9:9">
      <c r="I707" s="26"/>
    </row>
    <row r="708" customHeight="1" spans="9:9">
      <c r="I708" s="26"/>
    </row>
    <row r="709" customHeight="1" spans="9:9">
      <c r="I709" s="26"/>
    </row>
    <row r="710" customHeight="1" spans="9:9">
      <c r="I710" s="26"/>
    </row>
    <row r="711" customHeight="1" spans="9:9">
      <c r="I711" s="26"/>
    </row>
    <row r="712" customHeight="1" spans="9:9">
      <c r="I712" s="26"/>
    </row>
    <row r="713" customHeight="1" spans="9:9">
      <c r="I713" s="26"/>
    </row>
    <row r="714" customHeight="1" spans="9:9">
      <c r="I714" s="26"/>
    </row>
    <row r="715" customHeight="1" spans="9:9">
      <c r="I715" s="26"/>
    </row>
    <row r="716" customHeight="1" spans="9:9">
      <c r="I716" s="26"/>
    </row>
    <row r="717" customHeight="1" spans="9:9">
      <c r="I717" s="26"/>
    </row>
    <row r="718" customHeight="1" spans="9:9">
      <c r="I718" s="26"/>
    </row>
    <row r="719" customHeight="1" spans="9:9">
      <c r="I719" s="26"/>
    </row>
    <row r="720" customHeight="1" spans="9:9">
      <c r="I720" s="26"/>
    </row>
    <row r="721" customHeight="1" spans="9:9">
      <c r="I721" s="26"/>
    </row>
    <row r="722" customHeight="1" spans="9:9">
      <c r="I722" s="26"/>
    </row>
    <row r="723" customHeight="1" spans="9:9">
      <c r="I723" s="26"/>
    </row>
    <row r="724" customHeight="1" spans="9:9">
      <c r="I724" s="26"/>
    </row>
    <row r="725" customHeight="1" spans="9:9">
      <c r="I725" s="26"/>
    </row>
    <row r="726" customHeight="1" spans="9:9">
      <c r="I726" s="26"/>
    </row>
    <row r="727" customHeight="1" spans="9:9">
      <c r="I727" s="26"/>
    </row>
    <row r="728" customHeight="1" spans="9:9">
      <c r="I728" s="26"/>
    </row>
    <row r="729" customHeight="1" spans="9:9">
      <c r="I729" s="26"/>
    </row>
    <row r="730" customHeight="1" spans="9:9">
      <c r="I730" s="26"/>
    </row>
    <row r="731" customHeight="1" spans="9:9">
      <c r="I731" s="26"/>
    </row>
    <row r="732" customHeight="1" spans="9:9">
      <c r="I732" s="26"/>
    </row>
    <row r="733" customHeight="1" spans="9:9">
      <c r="I733" s="26"/>
    </row>
    <row r="734" customHeight="1" spans="9:9">
      <c r="I734" s="26"/>
    </row>
    <row r="735" customHeight="1" spans="9:9">
      <c r="I735" s="26"/>
    </row>
    <row r="736" customHeight="1" spans="9:9">
      <c r="I736" s="26"/>
    </row>
    <row r="737" customHeight="1" spans="9:9">
      <c r="I737" s="26"/>
    </row>
    <row r="738" customHeight="1" spans="9:9">
      <c r="I738" s="26"/>
    </row>
    <row r="739" customHeight="1" spans="9:9">
      <c r="I739" s="26"/>
    </row>
    <row r="740" customHeight="1" spans="9:9">
      <c r="I740" s="26"/>
    </row>
    <row r="741" customHeight="1" spans="9:9">
      <c r="I741" s="26"/>
    </row>
    <row r="742" customHeight="1" spans="9:9">
      <c r="I742" s="26"/>
    </row>
    <row r="743" customHeight="1" spans="9:9">
      <c r="I743" s="26"/>
    </row>
    <row r="744" customHeight="1" spans="9:9">
      <c r="I744" s="26"/>
    </row>
    <row r="745" customHeight="1" spans="9:9">
      <c r="I745" s="26"/>
    </row>
    <row r="746" customHeight="1" spans="9:9">
      <c r="I746" s="26"/>
    </row>
    <row r="747" customHeight="1" spans="9:9">
      <c r="I747" s="26"/>
    </row>
    <row r="748" customHeight="1" spans="9:9">
      <c r="I748" s="26"/>
    </row>
    <row r="749" customHeight="1" spans="9:9">
      <c r="I749" s="26"/>
    </row>
    <row r="750" customHeight="1" spans="9:9">
      <c r="I750" s="26"/>
    </row>
    <row r="751" customHeight="1" spans="9:9">
      <c r="I751" s="26"/>
    </row>
    <row r="752" customHeight="1" spans="9:9">
      <c r="I752" s="26"/>
    </row>
    <row r="753" customHeight="1" spans="9:9">
      <c r="I753" s="26"/>
    </row>
    <row r="754" customHeight="1" spans="9:9">
      <c r="I754" s="26"/>
    </row>
    <row r="755" customHeight="1" spans="9:9">
      <c r="I755" s="26"/>
    </row>
    <row r="756" customHeight="1" spans="9:9">
      <c r="I756" s="26"/>
    </row>
    <row r="757" customHeight="1" spans="9:9">
      <c r="I757" s="26"/>
    </row>
    <row r="758" customHeight="1" spans="9:9">
      <c r="I758" s="26"/>
    </row>
    <row r="759" customHeight="1" spans="9:9">
      <c r="I759" s="26"/>
    </row>
    <row r="760" customHeight="1" spans="9:9">
      <c r="I760" s="26"/>
    </row>
    <row r="761" customHeight="1" spans="9:9">
      <c r="I761" s="26"/>
    </row>
    <row r="762" customHeight="1" spans="9:9">
      <c r="I762" s="26"/>
    </row>
    <row r="763" customHeight="1" spans="9:9">
      <c r="I763" s="26"/>
    </row>
    <row r="764" customHeight="1" spans="9:9">
      <c r="I764" s="26"/>
    </row>
    <row r="765" customHeight="1" spans="9:9">
      <c r="I765" s="26"/>
    </row>
    <row r="766" customHeight="1" spans="9:9">
      <c r="I766" s="26"/>
    </row>
    <row r="767" customHeight="1" spans="9:9">
      <c r="I767" s="26"/>
    </row>
    <row r="768" customHeight="1" spans="9:9">
      <c r="I768" s="26"/>
    </row>
    <row r="769" customHeight="1" spans="9:9">
      <c r="I769" s="26"/>
    </row>
    <row r="770" customHeight="1" spans="9:9">
      <c r="I770" s="26"/>
    </row>
    <row r="771" customHeight="1" spans="9:9">
      <c r="I771" s="26"/>
    </row>
    <row r="772" customHeight="1" spans="9:9">
      <c r="I772" s="26"/>
    </row>
    <row r="773" customHeight="1" spans="9:9">
      <c r="I773" s="26"/>
    </row>
    <row r="774" customHeight="1" spans="9:9">
      <c r="I774" s="26"/>
    </row>
    <row r="775" customHeight="1" spans="9:9">
      <c r="I775" s="26"/>
    </row>
    <row r="776" customHeight="1" spans="9:9">
      <c r="I776" s="26"/>
    </row>
    <row r="777" customHeight="1" spans="9:9">
      <c r="I777" s="26"/>
    </row>
    <row r="778" customHeight="1" spans="9:9">
      <c r="I778" s="26"/>
    </row>
    <row r="779" customHeight="1" spans="9:9">
      <c r="I779" s="26"/>
    </row>
    <row r="780" customHeight="1" spans="9:9">
      <c r="I780" s="26"/>
    </row>
    <row r="781" customHeight="1" spans="9:9">
      <c r="I781" s="26"/>
    </row>
    <row r="782" customHeight="1" spans="9:9">
      <c r="I782" s="26"/>
    </row>
    <row r="783" customHeight="1" spans="9:9">
      <c r="I783" s="26"/>
    </row>
    <row r="784" customHeight="1" spans="9:9">
      <c r="I784" s="26"/>
    </row>
    <row r="785" customHeight="1" spans="9:9">
      <c r="I785" s="26"/>
    </row>
    <row r="786" customHeight="1" spans="9:9">
      <c r="I786" s="26"/>
    </row>
    <row r="787" customHeight="1" spans="9:9">
      <c r="I787" s="26"/>
    </row>
    <row r="788" customHeight="1" spans="9:9">
      <c r="I788" s="26"/>
    </row>
    <row r="789" customHeight="1" spans="9:9">
      <c r="I789" s="26"/>
    </row>
    <row r="790" customHeight="1" spans="9:9">
      <c r="I790" s="26"/>
    </row>
    <row r="791" customHeight="1" spans="9:9">
      <c r="I791" s="26"/>
    </row>
    <row r="792" customHeight="1" spans="9:9">
      <c r="I792" s="26"/>
    </row>
    <row r="793" customHeight="1" spans="9:9">
      <c r="I793" s="26"/>
    </row>
    <row r="794" customHeight="1" spans="9:9">
      <c r="I794" s="26"/>
    </row>
    <row r="795" customHeight="1" spans="9:9">
      <c r="I795" s="26"/>
    </row>
    <row r="796" customHeight="1" spans="9:9">
      <c r="I796" s="26"/>
    </row>
    <row r="797" customHeight="1" spans="9:9">
      <c r="I797" s="26"/>
    </row>
    <row r="798" customHeight="1" spans="9:9">
      <c r="I798" s="26"/>
    </row>
    <row r="799" customHeight="1" spans="9:9">
      <c r="I799" s="26"/>
    </row>
    <row r="800" customHeight="1" spans="9:9">
      <c r="I800" s="26"/>
    </row>
    <row r="801" customHeight="1" spans="9:9">
      <c r="I801" s="26"/>
    </row>
    <row r="802" customHeight="1" spans="9:9">
      <c r="I802" s="26"/>
    </row>
    <row r="803" customHeight="1" spans="9:9">
      <c r="I803" s="26"/>
    </row>
    <row r="804" customHeight="1" spans="9:9">
      <c r="I804" s="26"/>
    </row>
    <row r="805" customHeight="1" spans="9:9">
      <c r="I805" s="26"/>
    </row>
    <row r="806" customHeight="1" spans="9:9">
      <c r="I806" s="26"/>
    </row>
    <row r="807" customHeight="1" spans="9:9">
      <c r="I807" s="26"/>
    </row>
    <row r="808" customHeight="1" spans="9:9">
      <c r="I808" s="26"/>
    </row>
    <row r="809" customHeight="1" spans="9:9">
      <c r="I809" s="26"/>
    </row>
    <row r="810" customHeight="1" spans="9:9">
      <c r="I810" s="26"/>
    </row>
    <row r="811" customHeight="1" spans="9:9">
      <c r="I811" s="26"/>
    </row>
    <row r="812" customHeight="1" spans="9:9">
      <c r="I812" s="26"/>
    </row>
    <row r="813" customHeight="1" spans="9:9">
      <c r="I813" s="26"/>
    </row>
    <row r="814" customHeight="1" spans="9:9">
      <c r="I814" s="26"/>
    </row>
    <row r="815" customHeight="1" spans="9:9">
      <c r="I815" s="26"/>
    </row>
    <row r="816" customHeight="1" spans="9:9">
      <c r="I816" s="26"/>
    </row>
    <row r="817" customHeight="1" spans="9:9">
      <c r="I817" s="26"/>
    </row>
    <row r="818" customHeight="1" spans="9:9">
      <c r="I818" s="26"/>
    </row>
    <row r="819" customHeight="1" spans="9:9">
      <c r="I819" s="26"/>
    </row>
    <row r="820" customHeight="1" spans="9:9">
      <c r="I820" s="26"/>
    </row>
    <row r="821" customHeight="1" spans="9:9">
      <c r="I821" s="26"/>
    </row>
    <row r="822" customHeight="1" spans="9:9">
      <c r="I822" s="26"/>
    </row>
    <row r="823" customHeight="1" spans="9:9">
      <c r="I823" s="26"/>
    </row>
    <row r="824" customHeight="1" spans="9:9">
      <c r="I824" s="26"/>
    </row>
    <row r="825" customHeight="1" spans="9:9">
      <c r="I825" s="26"/>
    </row>
    <row r="826" customHeight="1" spans="9:9">
      <c r="I826" s="26"/>
    </row>
    <row r="827" customHeight="1" spans="9:9">
      <c r="I827" s="26"/>
    </row>
    <row r="828" customHeight="1" spans="9:9">
      <c r="I828" s="26"/>
    </row>
    <row r="829" customHeight="1" spans="9:9">
      <c r="I829" s="26"/>
    </row>
    <row r="830" customHeight="1" spans="9:9">
      <c r="I830" s="26"/>
    </row>
    <row r="831" customHeight="1" spans="9:9">
      <c r="I831" s="26"/>
    </row>
    <row r="832" customHeight="1" spans="9:9">
      <c r="I832" s="26"/>
    </row>
    <row r="833" customHeight="1" spans="9:9">
      <c r="I833" s="26"/>
    </row>
    <row r="834" customHeight="1" spans="9:9">
      <c r="I834" s="26"/>
    </row>
    <row r="835" customHeight="1" spans="9:9">
      <c r="I835" s="26"/>
    </row>
    <row r="836" customHeight="1" spans="9:9">
      <c r="I836" s="26"/>
    </row>
    <row r="837" customHeight="1" spans="9:9">
      <c r="I837" s="26"/>
    </row>
    <row r="838" customHeight="1" spans="9:9">
      <c r="I838" s="26"/>
    </row>
    <row r="839" customHeight="1" spans="9:9">
      <c r="I839" s="26"/>
    </row>
    <row r="840" customHeight="1" spans="9:9">
      <c r="I840" s="26"/>
    </row>
    <row r="841" customHeight="1" spans="9:9">
      <c r="I841" s="26"/>
    </row>
    <row r="842" customHeight="1" spans="9:9">
      <c r="I842" s="26"/>
    </row>
    <row r="843" customHeight="1" spans="9:9">
      <c r="I843" s="26"/>
    </row>
    <row r="844" customHeight="1" spans="9:9">
      <c r="I844" s="26"/>
    </row>
    <row r="845" customHeight="1" spans="9:9">
      <c r="I845" s="26"/>
    </row>
    <row r="846" customHeight="1" spans="9:9">
      <c r="I846" s="26"/>
    </row>
    <row r="847" customHeight="1" spans="9:9">
      <c r="I847" s="26"/>
    </row>
    <row r="848" customHeight="1" spans="9:9">
      <c r="I848" s="26"/>
    </row>
    <row r="849" customHeight="1" spans="9:9">
      <c r="I849" s="26"/>
    </row>
    <row r="850" customHeight="1" spans="9:9">
      <c r="I850" s="26"/>
    </row>
    <row r="851" customHeight="1" spans="9:9">
      <c r="I851" s="26"/>
    </row>
    <row r="852" customHeight="1" spans="9:9">
      <c r="I852" s="26"/>
    </row>
    <row r="853" customHeight="1" spans="9:9">
      <c r="I853" s="26"/>
    </row>
    <row r="854" customHeight="1" spans="9:9">
      <c r="I854" s="26"/>
    </row>
    <row r="855" customHeight="1" spans="9:9">
      <c r="I855" s="26"/>
    </row>
    <row r="856" customHeight="1" spans="9:9">
      <c r="I856" s="26"/>
    </row>
    <row r="857" customHeight="1" spans="9:9">
      <c r="I857" s="26"/>
    </row>
    <row r="858" customHeight="1" spans="9:9">
      <c r="I858" s="26"/>
    </row>
    <row r="859" customHeight="1" spans="9:9">
      <c r="I859" s="26"/>
    </row>
    <row r="860" customHeight="1" spans="9:9">
      <c r="I860" s="26"/>
    </row>
    <row r="861" customHeight="1" spans="9:9">
      <c r="I861" s="26"/>
    </row>
    <row r="862" customHeight="1" spans="9:9">
      <c r="I862" s="26"/>
    </row>
    <row r="863" customHeight="1" spans="9:9">
      <c r="I863" s="26"/>
    </row>
    <row r="864" customHeight="1" spans="9:9">
      <c r="I864" s="26"/>
    </row>
    <row r="865" customHeight="1" spans="9:9">
      <c r="I865" s="26"/>
    </row>
    <row r="866" customHeight="1" spans="9:9">
      <c r="I866" s="26"/>
    </row>
    <row r="867" customHeight="1" spans="9:9">
      <c r="I867" s="26"/>
    </row>
    <row r="868" customHeight="1" spans="9:9">
      <c r="I868" s="26"/>
    </row>
    <row r="869" customHeight="1" spans="9:9">
      <c r="I869" s="26"/>
    </row>
    <row r="870" customHeight="1" spans="9:9">
      <c r="I870" s="26"/>
    </row>
    <row r="871" customHeight="1" spans="9:9">
      <c r="I871" s="26"/>
    </row>
    <row r="872" customHeight="1" spans="9:9">
      <c r="I872" s="26"/>
    </row>
    <row r="873" customHeight="1" spans="9:9">
      <c r="I873" s="26"/>
    </row>
    <row r="874" customHeight="1" spans="9:9">
      <c r="I874" s="26"/>
    </row>
    <row r="875" customHeight="1" spans="9:9">
      <c r="I875" s="26"/>
    </row>
    <row r="876" customHeight="1" spans="9:9">
      <c r="I876" s="26"/>
    </row>
    <row r="877" customHeight="1" spans="9:9">
      <c r="I877" s="26"/>
    </row>
    <row r="878" customHeight="1" spans="9:9">
      <c r="I878" s="26"/>
    </row>
    <row r="879" customHeight="1" spans="9:9">
      <c r="I879" s="26"/>
    </row>
    <row r="880" customHeight="1" spans="9:9">
      <c r="I880" s="26"/>
    </row>
    <row r="881" customHeight="1" spans="9:9">
      <c r="I881" s="26"/>
    </row>
    <row r="882" customHeight="1" spans="9:9">
      <c r="I882" s="26"/>
    </row>
    <row r="883" customHeight="1" spans="9:9">
      <c r="I883" s="26"/>
    </row>
    <row r="884" customHeight="1" spans="9:9">
      <c r="I884" s="26"/>
    </row>
    <row r="885" customHeight="1" spans="9:9">
      <c r="I885" s="26"/>
    </row>
    <row r="886" customHeight="1" spans="9:9">
      <c r="I886" s="26"/>
    </row>
    <row r="887" customHeight="1" spans="9:9">
      <c r="I887" s="26"/>
    </row>
    <row r="888" customHeight="1" spans="9:9">
      <c r="I888" s="26"/>
    </row>
    <row r="889" customHeight="1" spans="9:9">
      <c r="I889" s="26"/>
    </row>
    <row r="890" customHeight="1" spans="9:9">
      <c r="I890" s="26"/>
    </row>
    <row r="891" customHeight="1" spans="9:9">
      <c r="I891" s="26"/>
    </row>
    <row r="892" customHeight="1" spans="9:9">
      <c r="I892" s="26"/>
    </row>
    <row r="893" customHeight="1" spans="9:9">
      <c r="I893" s="26"/>
    </row>
    <row r="894" customHeight="1" spans="9:9">
      <c r="I894" s="26"/>
    </row>
    <row r="895" customHeight="1" spans="9:9">
      <c r="I895" s="26"/>
    </row>
    <row r="896" customHeight="1" spans="9:9">
      <c r="I896" s="26"/>
    </row>
    <row r="897" customHeight="1" spans="9:9">
      <c r="I897" s="26"/>
    </row>
    <row r="898" customHeight="1" spans="9:9">
      <c r="I898" s="26"/>
    </row>
    <row r="899" customHeight="1" spans="9:9">
      <c r="I899" s="26"/>
    </row>
    <row r="900" customHeight="1" spans="9:9">
      <c r="I900" s="26"/>
    </row>
    <row r="901" customHeight="1" spans="9:9">
      <c r="I901" s="26"/>
    </row>
    <row r="902" customHeight="1" spans="9:9">
      <c r="I902" s="26"/>
    </row>
    <row r="903" customHeight="1" spans="9:9">
      <c r="I903" s="26"/>
    </row>
    <row r="904" customHeight="1" spans="9:9">
      <c r="I904" s="26"/>
    </row>
    <row r="905" customHeight="1" spans="9:9">
      <c r="I905" s="26"/>
    </row>
    <row r="906" customHeight="1" spans="9:9">
      <c r="I906" s="26"/>
    </row>
    <row r="907" customHeight="1" spans="9:9">
      <c r="I907" s="26"/>
    </row>
    <row r="908" customHeight="1" spans="9:9">
      <c r="I908" s="26"/>
    </row>
    <row r="909" customHeight="1" spans="9:9">
      <c r="I909" s="26"/>
    </row>
    <row r="910" customHeight="1" spans="9:9">
      <c r="I910" s="26"/>
    </row>
    <row r="911" customHeight="1" spans="9:9">
      <c r="I911" s="26"/>
    </row>
    <row r="912" customHeight="1" spans="9:9">
      <c r="I912" s="26"/>
    </row>
    <row r="913" customHeight="1" spans="9:9">
      <c r="I913" s="26"/>
    </row>
    <row r="914" customHeight="1" spans="9:9">
      <c r="I914" s="26"/>
    </row>
    <row r="915" customHeight="1" spans="9:9">
      <c r="I915" s="26"/>
    </row>
    <row r="916" customHeight="1" spans="9:9">
      <c r="I916" s="26"/>
    </row>
    <row r="917" customHeight="1" spans="9:9">
      <c r="I917" s="26"/>
    </row>
    <row r="918" customHeight="1" spans="9:9">
      <c r="I918" s="26"/>
    </row>
    <row r="919" customHeight="1" spans="9:9">
      <c r="I919" s="26"/>
    </row>
    <row r="920" customHeight="1" spans="9:9">
      <c r="I920" s="26"/>
    </row>
    <row r="921" customHeight="1" spans="9:9">
      <c r="I921" s="26"/>
    </row>
    <row r="922" customHeight="1" spans="9:9">
      <c r="I922" s="26"/>
    </row>
    <row r="923" customHeight="1" spans="9:9">
      <c r="I923" s="26"/>
    </row>
    <row r="924" customHeight="1" spans="9:9">
      <c r="I924" s="26"/>
    </row>
    <row r="925" customHeight="1" spans="9:9">
      <c r="I925" s="26"/>
    </row>
    <row r="926" customHeight="1" spans="9:9">
      <c r="I926" s="26"/>
    </row>
    <row r="927" customHeight="1" spans="9:9">
      <c r="I927" s="26"/>
    </row>
    <row r="928" customHeight="1" spans="9:9">
      <c r="I928" s="26"/>
    </row>
    <row r="929" customHeight="1" spans="9:9">
      <c r="I929" s="26"/>
    </row>
    <row r="930" customHeight="1" spans="9:9">
      <c r="I930" s="26"/>
    </row>
    <row r="931" customHeight="1" spans="9:9">
      <c r="I931" s="26"/>
    </row>
    <row r="932" customHeight="1" spans="9:9">
      <c r="I932" s="26"/>
    </row>
    <row r="933" customHeight="1" spans="9:9">
      <c r="I933" s="26"/>
    </row>
    <row r="934" customHeight="1" spans="9:9">
      <c r="I934" s="26"/>
    </row>
    <row r="935" customHeight="1" spans="9:9">
      <c r="I935" s="26"/>
    </row>
    <row r="936" customHeight="1" spans="9:9">
      <c r="I936" s="26"/>
    </row>
    <row r="937" customHeight="1" spans="9:9">
      <c r="I937" s="26"/>
    </row>
    <row r="938" customHeight="1" spans="9:9">
      <c r="I938" s="26"/>
    </row>
    <row r="939" customHeight="1" spans="9:9">
      <c r="I939" s="26"/>
    </row>
    <row r="940" customHeight="1" spans="9:9">
      <c r="I940" s="26"/>
    </row>
    <row r="941" customHeight="1" spans="9:9">
      <c r="I941" s="26"/>
    </row>
    <row r="942" customHeight="1" spans="9:9">
      <c r="I942" s="26"/>
    </row>
    <row r="943" customHeight="1" spans="9:9">
      <c r="I943" s="26"/>
    </row>
    <row r="944" customHeight="1" spans="9:9">
      <c r="I944" s="26"/>
    </row>
    <row r="945" customHeight="1" spans="9:9">
      <c r="I945" s="26"/>
    </row>
    <row r="946" customHeight="1" spans="9:9">
      <c r="I946" s="26"/>
    </row>
    <row r="947" customHeight="1" spans="9:9">
      <c r="I947" s="26"/>
    </row>
    <row r="948" customHeight="1" spans="9:9">
      <c r="I948" s="26"/>
    </row>
    <row r="949" customHeight="1" spans="9:9">
      <c r="I949" s="26"/>
    </row>
    <row r="950" customHeight="1" spans="9:9">
      <c r="I950" s="26"/>
    </row>
    <row r="951" customHeight="1" spans="9:9">
      <c r="I951" s="26"/>
    </row>
    <row r="952" customHeight="1" spans="9:9">
      <c r="I952" s="26"/>
    </row>
    <row r="953" customHeight="1" spans="9:9">
      <c r="I953" s="26"/>
    </row>
    <row r="954" customHeight="1" spans="9:9">
      <c r="I954" s="26"/>
    </row>
    <row r="955" customHeight="1" spans="9:9">
      <c r="I955" s="26"/>
    </row>
    <row r="956" customHeight="1" spans="9:9">
      <c r="I956" s="26"/>
    </row>
    <row r="957" customHeight="1" spans="9:9">
      <c r="I957" s="26"/>
    </row>
    <row r="958" customHeight="1" spans="9:9">
      <c r="I958" s="26"/>
    </row>
    <row r="959" customHeight="1" spans="9:9">
      <c r="I959" s="26"/>
    </row>
    <row r="960" customHeight="1" spans="9:9">
      <c r="I960" s="26"/>
    </row>
    <row r="961" customHeight="1" spans="9:9">
      <c r="I961" s="26"/>
    </row>
    <row r="962" customHeight="1" spans="9:9">
      <c r="I962" s="26"/>
    </row>
    <row r="963" customHeight="1" spans="9:9">
      <c r="I963" s="26"/>
    </row>
    <row r="964" customHeight="1" spans="9:9">
      <c r="I964" s="26"/>
    </row>
    <row r="965" customHeight="1" spans="9:9">
      <c r="I965" s="26"/>
    </row>
    <row r="966" customHeight="1" spans="9:9">
      <c r="I966" s="26"/>
    </row>
    <row r="967" customHeight="1" spans="9:9">
      <c r="I967" s="26"/>
    </row>
    <row r="968" customHeight="1" spans="9:9">
      <c r="I968" s="26"/>
    </row>
    <row r="969" customHeight="1" spans="9:9">
      <c r="I969" s="26"/>
    </row>
    <row r="970" customHeight="1" spans="9:9">
      <c r="I970" s="26"/>
    </row>
    <row r="971" customHeight="1" spans="9:9">
      <c r="I971" s="26"/>
    </row>
    <row r="972" customHeight="1" spans="9:9">
      <c r="I972" s="26"/>
    </row>
    <row r="973" customHeight="1" spans="9:9">
      <c r="I973" s="26"/>
    </row>
    <row r="974" customHeight="1" spans="9:9">
      <c r="I974" s="26"/>
    </row>
    <row r="975" customHeight="1" spans="9:9">
      <c r="I975" s="26"/>
    </row>
    <row r="976" customHeight="1" spans="9:9">
      <c r="I976" s="26"/>
    </row>
    <row r="977" customHeight="1" spans="9:9">
      <c r="I977" s="26"/>
    </row>
    <row r="978" customHeight="1" spans="9:9">
      <c r="I978" s="26"/>
    </row>
    <row r="979" customHeight="1" spans="9:9">
      <c r="I979" s="26"/>
    </row>
    <row r="980" customHeight="1" spans="9:9">
      <c r="I980" s="26"/>
    </row>
    <row r="981" customHeight="1" spans="9:9">
      <c r="I981" s="26"/>
    </row>
    <row r="982" customHeight="1" spans="9:9">
      <c r="I982" s="26"/>
    </row>
    <row r="983" customHeight="1" spans="9:9">
      <c r="I983" s="26"/>
    </row>
    <row r="984" customHeight="1" spans="9:9">
      <c r="I984" s="26"/>
    </row>
    <row r="985" customHeight="1" spans="9:9">
      <c r="I985" s="26"/>
    </row>
    <row r="986" customHeight="1" spans="9:9">
      <c r="I986" s="26"/>
    </row>
    <row r="987" customHeight="1" spans="9:9">
      <c r="I987" s="26"/>
    </row>
    <row r="988" customHeight="1" spans="9:9">
      <c r="I988" s="26"/>
    </row>
    <row r="989" customHeight="1" spans="9:9">
      <c r="I989" s="26"/>
    </row>
    <row r="990" customHeight="1" spans="9:9">
      <c r="I990" s="26"/>
    </row>
    <row r="991" customHeight="1" spans="9:9">
      <c r="I991" s="26"/>
    </row>
    <row r="992" customHeight="1" spans="9:9">
      <c r="I992" s="26"/>
    </row>
    <row r="993" customHeight="1" spans="9:9">
      <c r="I993" s="26"/>
    </row>
    <row r="994" customHeight="1" spans="9:9">
      <c r="I994" s="26"/>
    </row>
    <row r="995" customHeight="1" spans="9:9">
      <c r="I995" s="26"/>
    </row>
    <row r="996" customHeight="1" spans="9:9">
      <c r="I996" s="26"/>
    </row>
    <row r="997" customHeight="1" spans="9:9">
      <c r="I997" s="26"/>
    </row>
    <row r="998" customHeight="1" spans="9:9">
      <c r="I998" s="26"/>
    </row>
    <row r="999" customHeight="1" spans="9:9">
      <c r="I999" s="26"/>
    </row>
    <row r="1000" customHeight="1" spans="9:9">
      <c r="I1000" s="26"/>
    </row>
  </sheetData>
  <mergeCells count="1">
    <mergeCell ref="A1:V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4"/>
  <sheetViews>
    <sheetView workbookViewId="0">
      <selection activeCell="A1" sqref="A1:D1"/>
    </sheetView>
  </sheetViews>
  <sheetFormatPr defaultColWidth="12.6285714285714" defaultRowHeight="15.75" customHeight="1" outlineLevelRow="3" outlineLevelCol="3"/>
  <cols>
    <col min="4" max="4" width="42.6285714285714" customWidth="1"/>
  </cols>
  <sheetData>
    <row r="1" customHeight="1" spans="1:4">
      <c r="A1" s="20" t="s">
        <v>105</v>
      </c>
      <c r="B1" s="21"/>
      <c r="C1" s="21"/>
      <c r="D1" s="22"/>
    </row>
    <row r="2" customHeight="1" spans="1:4">
      <c r="A2" s="23" t="s">
        <v>106</v>
      </c>
    </row>
    <row r="3" customHeight="1" spans="1:4">
      <c r="A3" s="24" t="s">
        <v>107</v>
      </c>
    </row>
    <row r="4" customHeight="1" spans="1:4">
      <c r="A4" s="24" t="s">
        <v>108</v>
      </c>
    </row>
  </sheetData>
  <mergeCells count="2">
    <mergeCell ref="A1:D1"/>
    <mergeCell ref="A2:D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00"/>
  <sheetViews>
    <sheetView workbookViewId="0">
      <selection activeCell="A1" sqref="A1"/>
    </sheetView>
  </sheetViews>
  <sheetFormatPr defaultColWidth="12.6285714285714" defaultRowHeight="15.75" customHeight="1" outlineLevelCol="5"/>
  <cols>
    <col min="1" max="1" width="8.38095238095238" customWidth="1"/>
    <col min="2" max="2" width="10.5047619047619" customWidth="1"/>
    <col min="3" max="3" width="25.247619047619" customWidth="1"/>
    <col min="4" max="4" width="16.5047619047619" customWidth="1"/>
    <col min="5" max="5" width="20.8761904761905" customWidth="1"/>
    <col min="6" max="6" width="18.5047619047619" customWidth="1"/>
  </cols>
  <sheetData>
    <row r="1" customHeight="1" spans="1:6">
      <c r="A1" s="16" t="s">
        <v>109</v>
      </c>
      <c r="B1" s="16" t="s">
        <v>13</v>
      </c>
      <c r="C1" s="16" t="s">
        <v>14</v>
      </c>
      <c r="D1" s="16" t="s">
        <v>110</v>
      </c>
      <c r="E1" s="16" t="s">
        <v>111</v>
      </c>
      <c r="F1" s="16" t="s">
        <v>112</v>
      </c>
    </row>
    <row r="2" customHeight="1" spans="1:6">
      <c r="A2" s="17">
        <v>2019</v>
      </c>
      <c r="B2" s="17">
        <v>1</v>
      </c>
      <c r="C2" s="18" t="s">
        <v>17</v>
      </c>
      <c r="D2" s="19">
        <v>11318335</v>
      </c>
      <c r="E2" s="19">
        <v>8815927</v>
      </c>
      <c r="F2" s="19">
        <v>2502408</v>
      </c>
    </row>
    <row r="3" customHeight="1" spans="1:6">
      <c r="A3" s="17">
        <v>2019</v>
      </c>
      <c r="B3" s="17">
        <v>2</v>
      </c>
      <c r="C3" s="18" t="s">
        <v>19</v>
      </c>
      <c r="D3" s="19">
        <v>2098287</v>
      </c>
      <c r="E3" s="19">
        <v>2094386</v>
      </c>
      <c r="F3" s="19">
        <v>3902</v>
      </c>
    </row>
    <row r="4" customHeight="1" spans="1:6">
      <c r="A4" s="17">
        <v>2019</v>
      </c>
      <c r="B4" s="17">
        <v>3</v>
      </c>
      <c r="C4" s="18" t="s">
        <v>18</v>
      </c>
      <c r="D4" s="19">
        <v>1906494</v>
      </c>
      <c r="E4" s="19">
        <v>1224036</v>
      </c>
      <c r="F4" s="19">
        <v>682459</v>
      </c>
    </row>
    <row r="5" customHeight="1" spans="1:6">
      <c r="A5" s="17">
        <v>2019</v>
      </c>
      <c r="B5" s="17">
        <v>4</v>
      </c>
      <c r="C5" s="18" t="s">
        <v>20</v>
      </c>
      <c r="D5" s="19">
        <v>1795383</v>
      </c>
      <c r="E5" s="19">
        <v>1295078</v>
      </c>
      <c r="F5" s="19">
        <v>500305</v>
      </c>
    </row>
    <row r="6" customHeight="1" spans="1:6">
      <c r="A6" s="17">
        <v>2019</v>
      </c>
      <c r="B6" s="17">
        <v>5</v>
      </c>
      <c r="C6" s="18" t="s">
        <v>103</v>
      </c>
      <c r="D6" s="19">
        <v>1592453</v>
      </c>
      <c r="E6" s="19">
        <v>1557433</v>
      </c>
      <c r="F6" s="19">
        <v>35020</v>
      </c>
    </row>
    <row r="7" customHeight="1" spans="1:6">
      <c r="A7" s="17">
        <v>2019</v>
      </c>
      <c r="B7" s="17">
        <v>6</v>
      </c>
      <c r="C7" s="18" t="s">
        <v>21</v>
      </c>
      <c r="D7" s="19">
        <v>1566958</v>
      </c>
      <c r="E7" s="19">
        <v>1244599</v>
      </c>
      <c r="F7" s="19">
        <v>322358</v>
      </c>
    </row>
    <row r="8" customHeight="1" spans="1:6">
      <c r="A8" s="17">
        <v>2019</v>
      </c>
      <c r="B8" s="17">
        <v>7</v>
      </c>
      <c r="C8" s="18" t="s">
        <v>89</v>
      </c>
      <c r="D8" s="19">
        <v>1015805</v>
      </c>
      <c r="E8" s="19">
        <v>982539</v>
      </c>
      <c r="F8" s="19">
        <v>33265</v>
      </c>
    </row>
    <row r="9" customHeight="1" spans="1:6">
      <c r="A9" s="17">
        <v>2019</v>
      </c>
      <c r="B9" s="17">
        <v>8</v>
      </c>
      <c r="C9" s="18" t="s">
        <v>91</v>
      </c>
      <c r="D9" s="19">
        <v>801749</v>
      </c>
      <c r="E9" s="19">
        <v>599326</v>
      </c>
      <c r="F9" s="19">
        <v>202423</v>
      </c>
    </row>
    <row r="10" customHeight="1" spans="1:6">
      <c r="A10" s="17">
        <v>2019</v>
      </c>
      <c r="B10" s="17">
        <v>9</v>
      </c>
      <c r="C10" s="18" t="s">
        <v>90</v>
      </c>
      <c r="D10" s="19">
        <v>762304</v>
      </c>
      <c r="E10" s="19">
        <v>218559</v>
      </c>
      <c r="F10" s="19">
        <v>543745</v>
      </c>
    </row>
    <row r="11" customHeight="1" spans="1:6">
      <c r="A11" s="17">
        <v>2019</v>
      </c>
      <c r="B11" s="17">
        <v>10</v>
      </c>
      <c r="C11" s="18" t="s">
        <v>95</v>
      </c>
      <c r="D11" s="19">
        <v>759081</v>
      </c>
      <c r="E11" s="19">
        <v>755544</v>
      </c>
      <c r="F11" s="19">
        <v>3536</v>
      </c>
    </row>
    <row r="12" customHeight="1" spans="1:6">
      <c r="A12" s="17">
        <v>2019</v>
      </c>
      <c r="B12" s="17">
        <v>11</v>
      </c>
      <c r="C12" s="18" t="s">
        <v>102</v>
      </c>
      <c r="D12" s="19">
        <v>758136</v>
      </c>
      <c r="E12" s="19">
        <v>756374</v>
      </c>
      <c r="F12" s="19">
        <v>1762</v>
      </c>
    </row>
    <row r="13" customHeight="1" spans="1:6">
      <c r="A13" s="17">
        <v>2019</v>
      </c>
      <c r="B13" s="17">
        <v>12</v>
      </c>
      <c r="C13" s="18" t="s">
        <v>94</v>
      </c>
      <c r="D13" s="19">
        <v>683211</v>
      </c>
      <c r="E13" s="19">
        <v>601339</v>
      </c>
      <c r="F13" s="19">
        <v>81873</v>
      </c>
    </row>
    <row r="14" customHeight="1" spans="1:6">
      <c r="A14" s="17">
        <v>2019</v>
      </c>
      <c r="B14" s="17">
        <v>13</v>
      </c>
      <c r="C14" s="18" t="s">
        <v>37</v>
      </c>
      <c r="D14" s="19">
        <v>597628</v>
      </c>
      <c r="E14" s="19">
        <v>581918</v>
      </c>
      <c r="F14" s="19">
        <v>15710</v>
      </c>
    </row>
    <row r="15" customHeight="1" spans="1:6">
      <c r="A15" s="17">
        <v>2019</v>
      </c>
      <c r="B15" s="17">
        <v>14</v>
      </c>
      <c r="C15" s="18" t="s">
        <v>39</v>
      </c>
      <c r="D15" s="19">
        <v>466775</v>
      </c>
      <c r="E15" s="19">
        <v>435832</v>
      </c>
      <c r="F15" s="19">
        <v>30943</v>
      </c>
    </row>
    <row r="16" customHeight="1" spans="1:6">
      <c r="A16" s="17">
        <v>2019</v>
      </c>
      <c r="B16" s="17">
        <v>15</v>
      </c>
      <c r="C16" s="18" t="s">
        <v>87</v>
      </c>
      <c r="D16" s="19">
        <v>442309</v>
      </c>
      <c r="E16" s="19">
        <v>435509</v>
      </c>
      <c r="F16" s="19">
        <v>6800</v>
      </c>
    </row>
    <row r="17" customHeight="1" spans="1:6">
      <c r="A17" s="17">
        <v>2019</v>
      </c>
      <c r="B17" s="17">
        <v>16</v>
      </c>
      <c r="C17" s="18" t="s">
        <v>88</v>
      </c>
      <c r="D17" s="19">
        <v>323033</v>
      </c>
      <c r="E17" s="19">
        <v>322071</v>
      </c>
      <c r="F17" s="18">
        <v>962</v>
      </c>
    </row>
    <row r="18" customHeight="1" spans="1:6">
      <c r="A18" s="17">
        <v>2019</v>
      </c>
      <c r="B18" s="17">
        <v>17</v>
      </c>
      <c r="C18" s="18" t="s">
        <v>98</v>
      </c>
      <c r="D18" s="19">
        <v>322207</v>
      </c>
      <c r="E18" s="19">
        <v>32424</v>
      </c>
      <c r="F18" s="19">
        <v>289782</v>
      </c>
    </row>
    <row r="19" customHeight="1" spans="1:6">
      <c r="A19" s="17">
        <v>2019</v>
      </c>
      <c r="B19" s="17">
        <v>18</v>
      </c>
      <c r="C19" s="18" t="s">
        <v>101</v>
      </c>
      <c r="D19" s="19">
        <v>229476</v>
      </c>
      <c r="E19" s="19">
        <v>228237</v>
      </c>
      <c r="F19" s="19">
        <v>1239</v>
      </c>
    </row>
    <row r="20" customHeight="1" spans="1:6">
      <c r="A20" s="17">
        <v>2019</v>
      </c>
      <c r="B20" s="17">
        <v>19</v>
      </c>
      <c r="C20" s="18" t="s">
        <v>93</v>
      </c>
      <c r="D20" s="19">
        <v>217405</v>
      </c>
      <c r="E20" s="19">
        <v>153998</v>
      </c>
      <c r="F20" s="19">
        <v>63407</v>
      </c>
    </row>
    <row r="21" customHeight="1" spans="1:6">
      <c r="A21" s="17">
        <v>2019</v>
      </c>
      <c r="B21" s="17">
        <v>20</v>
      </c>
      <c r="C21" s="18" t="s">
        <v>31</v>
      </c>
      <c r="D21" s="19">
        <v>196902</v>
      </c>
      <c r="E21" s="19">
        <v>21273</v>
      </c>
      <c r="F21" s="19">
        <v>175628</v>
      </c>
    </row>
    <row r="22" customHeight="1" spans="1:6">
      <c r="A22" s="17">
        <v>2019</v>
      </c>
      <c r="B22" s="17">
        <v>21</v>
      </c>
      <c r="C22" s="18" t="s">
        <v>99</v>
      </c>
      <c r="D22" s="19">
        <v>180265</v>
      </c>
      <c r="E22" s="19">
        <v>180248</v>
      </c>
      <c r="F22" s="18">
        <v>17</v>
      </c>
    </row>
    <row r="23" customHeight="1" spans="1:6">
      <c r="A23" s="17">
        <v>2019</v>
      </c>
      <c r="B23" s="17">
        <v>22</v>
      </c>
      <c r="C23" s="18" t="s">
        <v>100</v>
      </c>
      <c r="D23" s="19">
        <v>177854</v>
      </c>
      <c r="E23" s="19">
        <v>47395</v>
      </c>
      <c r="F23" s="19">
        <v>130459</v>
      </c>
    </row>
    <row r="24" customHeight="1" spans="1:6">
      <c r="A24" s="17">
        <v>2019</v>
      </c>
      <c r="B24" s="17">
        <v>23</v>
      </c>
      <c r="C24" s="18" t="s">
        <v>35</v>
      </c>
      <c r="D24" s="19">
        <v>177098</v>
      </c>
      <c r="E24" s="19">
        <v>7796</v>
      </c>
      <c r="F24" s="19">
        <v>169302</v>
      </c>
    </row>
    <row r="25" customHeight="1" spans="1:6">
      <c r="A25" s="17">
        <v>2019</v>
      </c>
      <c r="B25" s="17">
        <v>24</v>
      </c>
      <c r="C25" s="18" t="s">
        <v>33</v>
      </c>
      <c r="D25" s="19">
        <v>152742</v>
      </c>
      <c r="E25" s="19">
        <v>14088</v>
      </c>
      <c r="F25" s="19">
        <v>138654</v>
      </c>
    </row>
    <row r="26" customHeight="1" spans="1:6">
      <c r="A26" s="17">
        <v>2019</v>
      </c>
      <c r="B26" s="17">
        <v>25</v>
      </c>
      <c r="C26" s="18" t="s">
        <v>113</v>
      </c>
      <c r="D26" s="19">
        <v>110802</v>
      </c>
      <c r="E26" s="19">
        <v>110799</v>
      </c>
      <c r="F26" s="18">
        <v>3</v>
      </c>
    </row>
    <row r="27" customHeight="1" spans="1:6">
      <c r="A27" s="17">
        <v>2019</v>
      </c>
      <c r="B27" s="17">
        <v>26</v>
      </c>
      <c r="C27" s="18" t="s">
        <v>114</v>
      </c>
      <c r="D27" s="19">
        <v>107349</v>
      </c>
      <c r="E27" s="19">
        <v>40364</v>
      </c>
      <c r="F27" s="19">
        <v>66985</v>
      </c>
    </row>
    <row r="28" customHeight="1" spans="1:6">
      <c r="A28" s="17">
        <v>2020</v>
      </c>
      <c r="B28" s="17">
        <v>1</v>
      </c>
      <c r="C28" s="18" t="s">
        <v>17</v>
      </c>
      <c r="D28" s="19">
        <v>11936353</v>
      </c>
      <c r="E28" s="19">
        <v>9717719</v>
      </c>
      <c r="F28" s="19">
        <v>2218634</v>
      </c>
    </row>
    <row r="29" customHeight="1" spans="1:6">
      <c r="A29" s="17">
        <v>2020</v>
      </c>
      <c r="B29" s="17">
        <v>2</v>
      </c>
      <c r="C29" s="18" t="s">
        <v>18</v>
      </c>
      <c r="D29" s="19">
        <v>2148447</v>
      </c>
      <c r="E29" s="19">
        <v>1370754</v>
      </c>
      <c r="F29" s="19">
        <v>777693</v>
      </c>
    </row>
    <row r="30" customHeight="1" spans="1:6">
      <c r="A30" s="17">
        <v>2020</v>
      </c>
      <c r="B30" s="17">
        <v>3</v>
      </c>
      <c r="C30" s="18" t="s">
        <v>19</v>
      </c>
      <c r="D30" s="19">
        <v>1811538</v>
      </c>
      <c r="E30" s="19">
        <v>1807423</v>
      </c>
      <c r="F30" s="19">
        <v>4114</v>
      </c>
    </row>
    <row r="31" customHeight="1" spans="1:6">
      <c r="A31" s="17">
        <v>2020</v>
      </c>
      <c r="B31" s="17">
        <v>4</v>
      </c>
      <c r="C31" s="18" t="s">
        <v>20</v>
      </c>
      <c r="D31" s="19">
        <v>1576557</v>
      </c>
      <c r="E31" s="19">
        <v>1169697</v>
      </c>
      <c r="F31" s="19">
        <v>406860</v>
      </c>
    </row>
    <row r="32" customHeight="1" spans="1:6">
      <c r="A32" s="17">
        <v>2020</v>
      </c>
      <c r="B32" s="17">
        <v>5</v>
      </c>
      <c r="C32" s="18" t="s">
        <v>21</v>
      </c>
      <c r="D32" s="19">
        <v>1371170</v>
      </c>
      <c r="E32" s="19">
        <v>1041700</v>
      </c>
      <c r="F32" s="19">
        <v>329470</v>
      </c>
    </row>
    <row r="33" customHeight="1" spans="1:6">
      <c r="A33" s="17">
        <v>2020</v>
      </c>
      <c r="B33" s="17">
        <v>6</v>
      </c>
      <c r="C33" s="18" t="s">
        <v>103</v>
      </c>
      <c r="D33" s="19">
        <v>1287255</v>
      </c>
      <c r="E33" s="19">
        <v>1266423</v>
      </c>
      <c r="F33" s="19">
        <v>20833</v>
      </c>
    </row>
    <row r="34" customHeight="1" spans="1:6">
      <c r="A34" s="17">
        <v>2020</v>
      </c>
      <c r="B34" s="17">
        <v>7</v>
      </c>
      <c r="C34" s="18" t="s">
        <v>89</v>
      </c>
      <c r="D34" s="19">
        <v>1028866</v>
      </c>
      <c r="E34" s="19">
        <v>1002013</v>
      </c>
      <c r="F34" s="19">
        <v>26853</v>
      </c>
    </row>
    <row r="35" customHeight="1" spans="1:6">
      <c r="A35" s="17">
        <v>2020</v>
      </c>
      <c r="B35" s="17">
        <v>8</v>
      </c>
      <c r="C35" s="18" t="s">
        <v>91</v>
      </c>
      <c r="D35" s="19">
        <v>821160</v>
      </c>
      <c r="E35" s="19">
        <v>621967</v>
      </c>
      <c r="F35" s="19">
        <v>199193</v>
      </c>
    </row>
    <row r="36" customHeight="1" spans="1:6">
      <c r="A36" s="17">
        <v>2020</v>
      </c>
      <c r="B36" s="17">
        <v>9</v>
      </c>
      <c r="C36" s="18" t="s">
        <v>102</v>
      </c>
      <c r="D36" s="19">
        <v>820402</v>
      </c>
      <c r="E36" s="19">
        <v>817426</v>
      </c>
      <c r="F36" s="19">
        <v>2976</v>
      </c>
    </row>
    <row r="37" customHeight="1" spans="1:6">
      <c r="A37" s="17">
        <v>2020</v>
      </c>
      <c r="B37" s="17">
        <v>10</v>
      </c>
      <c r="C37" s="18" t="s">
        <v>94</v>
      </c>
      <c r="D37" s="19">
        <v>707635</v>
      </c>
      <c r="E37" s="19">
        <v>614839</v>
      </c>
      <c r="F37" s="19">
        <v>92796</v>
      </c>
    </row>
    <row r="38" customHeight="1" spans="1:6">
      <c r="A38" s="17">
        <v>2020</v>
      </c>
      <c r="B38" s="17">
        <v>11</v>
      </c>
      <c r="C38" s="18" t="s">
        <v>37</v>
      </c>
      <c r="D38" s="19">
        <v>690394</v>
      </c>
      <c r="E38" s="19">
        <v>677939</v>
      </c>
      <c r="F38" s="19">
        <v>12455</v>
      </c>
    </row>
    <row r="39" customHeight="1" spans="1:6">
      <c r="A39" s="17">
        <v>2020</v>
      </c>
      <c r="B39" s="17">
        <v>12</v>
      </c>
      <c r="C39" s="18" t="s">
        <v>90</v>
      </c>
      <c r="D39" s="19">
        <v>585962</v>
      </c>
      <c r="E39" s="19">
        <v>223605</v>
      </c>
      <c r="F39" s="19">
        <v>362357</v>
      </c>
    </row>
    <row r="40" customHeight="1" spans="1:6">
      <c r="A40" s="17">
        <v>2020</v>
      </c>
      <c r="B40" s="17">
        <v>13</v>
      </c>
      <c r="C40" s="18" t="s">
        <v>95</v>
      </c>
      <c r="D40" s="19">
        <v>580625</v>
      </c>
      <c r="E40" s="19">
        <v>574971</v>
      </c>
      <c r="F40" s="19">
        <v>5654</v>
      </c>
    </row>
    <row r="41" customHeight="1" spans="1:6">
      <c r="A41" s="17">
        <v>2020</v>
      </c>
      <c r="B41" s="17">
        <v>14</v>
      </c>
      <c r="C41" s="18" t="s">
        <v>39</v>
      </c>
      <c r="D41" s="19">
        <v>481893</v>
      </c>
      <c r="E41" s="19">
        <v>459095</v>
      </c>
      <c r="F41" s="19">
        <v>22798</v>
      </c>
    </row>
    <row r="42" customHeight="1" spans="1:6">
      <c r="A42" s="17">
        <v>2020</v>
      </c>
      <c r="B42" s="17">
        <v>15</v>
      </c>
      <c r="C42" s="18" t="s">
        <v>101</v>
      </c>
      <c r="D42" s="19">
        <v>386091</v>
      </c>
      <c r="E42" s="19">
        <v>385047</v>
      </c>
      <c r="F42" s="19">
        <v>1044</v>
      </c>
    </row>
    <row r="43" customHeight="1" spans="1:6">
      <c r="A43" s="17">
        <v>2020</v>
      </c>
      <c r="B43" s="17">
        <v>16</v>
      </c>
      <c r="C43" s="18" t="s">
        <v>31</v>
      </c>
      <c r="D43" s="19">
        <v>321256</v>
      </c>
      <c r="E43" s="19">
        <v>23156</v>
      </c>
      <c r="F43" s="19">
        <v>298099</v>
      </c>
    </row>
    <row r="44" customHeight="1" spans="1:6">
      <c r="A44" s="17">
        <v>2020</v>
      </c>
      <c r="B44" s="17">
        <v>17</v>
      </c>
      <c r="C44" s="18" t="s">
        <v>87</v>
      </c>
      <c r="D44" s="19">
        <v>319129</v>
      </c>
      <c r="E44" s="19">
        <v>314417</v>
      </c>
      <c r="F44" s="19">
        <v>4711</v>
      </c>
    </row>
    <row r="45" customHeight="1" spans="1:6">
      <c r="A45" s="17">
        <v>2020</v>
      </c>
      <c r="B45" s="17">
        <v>18</v>
      </c>
      <c r="C45" s="18" t="s">
        <v>35</v>
      </c>
      <c r="D45" s="19">
        <v>257198</v>
      </c>
      <c r="E45" s="19">
        <v>2031</v>
      </c>
      <c r="F45" s="19">
        <v>255166</v>
      </c>
    </row>
    <row r="46" customHeight="1" spans="1:6">
      <c r="A46" s="17">
        <v>2020</v>
      </c>
      <c r="B46" s="17">
        <v>19</v>
      </c>
      <c r="C46" s="18" t="s">
        <v>88</v>
      </c>
      <c r="D46" s="19">
        <v>228554</v>
      </c>
      <c r="E46" s="19">
        <v>227844</v>
      </c>
      <c r="F46" s="18">
        <v>709</v>
      </c>
    </row>
    <row r="47" customHeight="1" spans="1:6">
      <c r="A47" s="17">
        <v>2020</v>
      </c>
      <c r="B47" s="17">
        <v>20</v>
      </c>
      <c r="C47" s="18" t="s">
        <v>33</v>
      </c>
      <c r="D47" s="19">
        <v>227187</v>
      </c>
      <c r="E47" s="19">
        <v>3932</v>
      </c>
      <c r="F47" s="19">
        <v>223255</v>
      </c>
    </row>
    <row r="48" customHeight="1" spans="1:6">
      <c r="A48" s="17">
        <v>2020</v>
      </c>
      <c r="B48" s="17">
        <v>21</v>
      </c>
      <c r="C48" s="18" t="s">
        <v>97</v>
      </c>
      <c r="D48" s="19">
        <v>216207</v>
      </c>
      <c r="E48" s="19">
        <v>2313</v>
      </c>
      <c r="F48" s="19">
        <v>213894</v>
      </c>
    </row>
    <row r="49" customHeight="1" spans="1:6">
      <c r="A49" s="17">
        <v>2020</v>
      </c>
      <c r="B49" s="17">
        <v>22</v>
      </c>
      <c r="C49" s="18" t="s">
        <v>98</v>
      </c>
      <c r="D49" s="19">
        <v>184440</v>
      </c>
      <c r="E49" s="19">
        <v>34444</v>
      </c>
      <c r="F49" s="19">
        <v>149996</v>
      </c>
    </row>
    <row r="50" customHeight="1" spans="1:6">
      <c r="A50" s="17">
        <v>2020</v>
      </c>
      <c r="B50" s="17">
        <v>23</v>
      </c>
      <c r="C50" s="18" t="s">
        <v>93</v>
      </c>
      <c r="D50" s="19">
        <v>179367</v>
      </c>
      <c r="E50" s="19">
        <v>134846</v>
      </c>
      <c r="F50" s="19">
        <v>44521</v>
      </c>
    </row>
    <row r="51" customHeight="1" spans="1:6">
      <c r="A51" s="17">
        <v>2020</v>
      </c>
      <c r="B51" s="17">
        <v>24</v>
      </c>
      <c r="C51" s="18" t="s">
        <v>100</v>
      </c>
      <c r="D51" s="19">
        <v>162508</v>
      </c>
      <c r="E51" s="19">
        <v>35733</v>
      </c>
      <c r="F51" s="19">
        <v>126776</v>
      </c>
    </row>
    <row r="52" customHeight="1" spans="1:6">
      <c r="A52" s="17">
        <v>2020</v>
      </c>
      <c r="B52" s="17">
        <v>25</v>
      </c>
      <c r="C52" s="18" t="s">
        <v>96</v>
      </c>
      <c r="D52" s="19">
        <v>140610</v>
      </c>
      <c r="E52" s="18">
        <v>691</v>
      </c>
      <c r="F52" s="19">
        <v>139919</v>
      </c>
    </row>
    <row r="53" customHeight="1" spans="1:6">
      <c r="A53" s="17">
        <v>2020</v>
      </c>
      <c r="B53" s="17">
        <v>26</v>
      </c>
      <c r="C53" s="18" t="s">
        <v>99</v>
      </c>
      <c r="D53" s="19">
        <v>107468</v>
      </c>
      <c r="E53" s="19">
        <v>107051</v>
      </c>
      <c r="F53" s="18">
        <v>417</v>
      </c>
    </row>
    <row r="54" customHeight="1" spans="1:6">
      <c r="A54" s="17">
        <v>2021</v>
      </c>
      <c r="B54" s="17">
        <v>1</v>
      </c>
      <c r="C54" s="18" t="s">
        <v>17</v>
      </c>
      <c r="D54" s="19">
        <v>12735977</v>
      </c>
      <c r="E54" s="19">
        <v>10684919</v>
      </c>
      <c r="F54" s="19">
        <v>2051059</v>
      </c>
    </row>
    <row r="55" customHeight="1" spans="1:6">
      <c r="A55" s="17">
        <v>2021</v>
      </c>
      <c r="B55" s="17">
        <v>2</v>
      </c>
      <c r="C55" s="18" t="s">
        <v>18</v>
      </c>
      <c r="D55" s="19">
        <v>2200990</v>
      </c>
      <c r="E55" s="19">
        <v>1417658</v>
      </c>
      <c r="F55" s="19">
        <v>783332</v>
      </c>
    </row>
    <row r="56" customHeight="1" spans="1:6">
      <c r="A56" s="17">
        <v>2021</v>
      </c>
      <c r="B56" s="17">
        <v>3</v>
      </c>
      <c r="C56" s="18" t="s">
        <v>19</v>
      </c>
      <c r="D56" s="19">
        <v>1835200</v>
      </c>
      <c r="E56" s="19">
        <v>1828329</v>
      </c>
      <c r="F56" s="19">
        <v>6871</v>
      </c>
    </row>
    <row r="57" customHeight="1" spans="1:6">
      <c r="A57" s="17">
        <v>2021</v>
      </c>
      <c r="B57" s="17">
        <v>4</v>
      </c>
      <c r="C57" s="18" t="s">
        <v>20</v>
      </c>
      <c r="D57" s="19">
        <v>1611196</v>
      </c>
      <c r="E57" s="19">
        <v>1167251</v>
      </c>
      <c r="F57" s="19">
        <v>443944</v>
      </c>
    </row>
    <row r="58" customHeight="1" spans="1:6">
      <c r="A58" s="17">
        <v>2021</v>
      </c>
      <c r="B58" s="17">
        <v>5</v>
      </c>
      <c r="C58" s="18" t="s">
        <v>21</v>
      </c>
      <c r="D58" s="19">
        <v>1482662</v>
      </c>
      <c r="E58" s="19">
        <v>1128304</v>
      </c>
      <c r="F58" s="19">
        <v>354357</v>
      </c>
    </row>
    <row r="59" customHeight="1" spans="1:6">
      <c r="A59" s="17">
        <v>2021</v>
      </c>
      <c r="B59" s="17">
        <v>6</v>
      </c>
      <c r="C59" s="18" t="s">
        <v>103</v>
      </c>
      <c r="D59" s="19">
        <v>1320218</v>
      </c>
      <c r="E59" s="19">
        <v>1304504</v>
      </c>
      <c r="F59" s="19">
        <v>15715</v>
      </c>
    </row>
    <row r="60" customHeight="1" spans="1:6">
      <c r="A60" s="17">
        <v>2021</v>
      </c>
      <c r="B60" s="17">
        <v>7</v>
      </c>
      <c r="C60" s="18" t="s">
        <v>89</v>
      </c>
      <c r="D60" s="19">
        <v>1147796</v>
      </c>
      <c r="E60" s="19">
        <v>1121198</v>
      </c>
      <c r="F60" s="19">
        <v>26598</v>
      </c>
    </row>
    <row r="61" customHeight="1" spans="1:6">
      <c r="A61" s="17">
        <v>2021</v>
      </c>
      <c r="B61" s="17">
        <v>8</v>
      </c>
      <c r="C61" s="18" t="s">
        <v>37</v>
      </c>
      <c r="D61" s="19">
        <v>841880</v>
      </c>
      <c r="E61" s="19">
        <v>829113</v>
      </c>
      <c r="F61" s="19">
        <v>12767</v>
      </c>
    </row>
    <row r="62" customHeight="1" spans="1:6">
      <c r="A62" s="17">
        <v>2021</v>
      </c>
      <c r="B62" s="17">
        <v>9</v>
      </c>
      <c r="C62" s="18" t="s">
        <v>102</v>
      </c>
      <c r="D62" s="19">
        <v>829482</v>
      </c>
      <c r="E62" s="19">
        <v>826122</v>
      </c>
      <c r="F62" s="19">
        <v>3360</v>
      </c>
    </row>
    <row r="63" customHeight="1" spans="1:6">
      <c r="A63" s="17">
        <v>2021</v>
      </c>
      <c r="B63" s="17">
        <v>10</v>
      </c>
      <c r="C63" s="18" t="s">
        <v>94</v>
      </c>
      <c r="D63" s="19">
        <v>788166</v>
      </c>
      <c r="E63" s="19">
        <v>683996</v>
      </c>
      <c r="F63" s="19">
        <v>104169</v>
      </c>
    </row>
    <row r="64" customHeight="1" spans="1:6">
      <c r="A64" s="17">
        <v>2021</v>
      </c>
      <c r="B64" s="17">
        <v>11</v>
      </c>
      <c r="C64" s="18" t="s">
        <v>91</v>
      </c>
      <c r="D64" s="19">
        <v>722229</v>
      </c>
      <c r="E64" s="19">
        <v>493503</v>
      </c>
      <c r="F64" s="19">
        <v>228726</v>
      </c>
    </row>
    <row r="65" customHeight="1" spans="1:6">
      <c r="A65" s="17">
        <v>2021</v>
      </c>
      <c r="B65" s="17">
        <v>12</v>
      </c>
      <c r="C65" s="18" t="s">
        <v>39</v>
      </c>
      <c r="D65" s="19">
        <v>618216</v>
      </c>
      <c r="E65" s="19">
        <v>595401</v>
      </c>
      <c r="F65" s="19">
        <v>22815</v>
      </c>
    </row>
    <row r="66" customHeight="1" spans="1:6">
      <c r="A66" s="17">
        <v>2021</v>
      </c>
      <c r="B66" s="17">
        <v>13</v>
      </c>
      <c r="C66" s="18" t="s">
        <v>90</v>
      </c>
      <c r="D66" s="19">
        <v>609108</v>
      </c>
      <c r="E66" s="19">
        <v>226793</v>
      </c>
      <c r="F66" s="19">
        <v>382315</v>
      </c>
    </row>
    <row r="67" customHeight="1" spans="1:6">
      <c r="A67" s="17">
        <v>2021</v>
      </c>
      <c r="B67" s="17">
        <v>14</v>
      </c>
      <c r="C67" s="18" t="s">
        <v>95</v>
      </c>
      <c r="D67" s="19">
        <v>576059</v>
      </c>
      <c r="E67" s="19">
        <v>568821</v>
      </c>
      <c r="F67" s="19">
        <v>7237</v>
      </c>
    </row>
    <row r="68" customHeight="1" spans="1:6">
      <c r="A68" s="17">
        <v>2021</v>
      </c>
      <c r="B68" s="17">
        <v>15</v>
      </c>
      <c r="C68" s="18" t="s">
        <v>31</v>
      </c>
      <c r="D68" s="19">
        <v>364133</v>
      </c>
      <c r="E68" s="19">
        <v>27590</v>
      </c>
      <c r="F68" s="19">
        <v>336544</v>
      </c>
    </row>
    <row r="69" customHeight="1" spans="1:6">
      <c r="A69" s="17">
        <v>2021</v>
      </c>
      <c r="B69" s="17">
        <v>16</v>
      </c>
      <c r="C69" s="18" t="s">
        <v>101</v>
      </c>
      <c r="D69" s="19">
        <v>361674</v>
      </c>
      <c r="E69" s="19">
        <v>360866</v>
      </c>
      <c r="F69" s="18">
        <v>808</v>
      </c>
    </row>
    <row r="70" customHeight="1" spans="1:6">
      <c r="A70" s="17">
        <v>2021</v>
      </c>
      <c r="B70" s="17">
        <v>17</v>
      </c>
      <c r="C70" s="18" t="s">
        <v>35</v>
      </c>
      <c r="D70" s="19">
        <v>300146</v>
      </c>
      <c r="E70" s="19">
        <v>1065</v>
      </c>
      <c r="F70" s="19">
        <v>299081</v>
      </c>
    </row>
    <row r="71" customHeight="1" spans="1:6">
      <c r="A71" s="17">
        <v>2021</v>
      </c>
      <c r="B71" s="17">
        <v>18</v>
      </c>
      <c r="C71" s="18" t="s">
        <v>33</v>
      </c>
      <c r="D71" s="19">
        <v>296023</v>
      </c>
      <c r="E71" s="19">
        <v>2397</v>
      </c>
      <c r="F71" s="19">
        <v>293625</v>
      </c>
    </row>
    <row r="72" customHeight="1" spans="1:6">
      <c r="A72" s="17">
        <v>2021</v>
      </c>
      <c r="B72" s="17">
        <v>19</v>
      </c>
      <c r="C72" s="18" t="s">
        <v>87</v>
      </c>
      <c r="D72" s="19">
        <v>284924</v>
      </c>
      <c r="E72" s="19">
        <v>273874</v>
      </c>
      <c r="F72" s="19">
        <v>11049</v>
      </c>
    </row>
    <row r="73" customHeight="1" spans="1:6">
      <c r="A73" s="17">
        <v>2021</v>
      </c>
      <c r="B73" s="17">
        <v>20</v>
      </c>
      <c r="C73" s="18" t="s">
        <v>97</v>
      </c>
      <c r="D73" s="19">
        <v>272154</v>
      </c>
      <c r="E73" s="19">
        <v>1870</v>
      </c>
      <c r="F73" s="19">
        <v>270284</v>
      </c>
    </row>
    <row r="74" customHeight="1" spans="1:6">
      <c r="A74" s="17">
        <v>2021</v>
      </c>
      <c r="B74" s="17">
        <v>21</v>
      </c>
      <c r="C74" s="18" t="s">
        <v>88</v>
      </c>
      <c r="D74" s="19">
        <v>225890</v>
      </c>
      <c r="E74" s="19">
        <v>225344</v>
      </c>
      <c r="F74" s="18">
        <v>546</v>
      </c>
    </row>
    <row r="75" customHeight="1" spans="1:6">
      <c r="A75" s="17">
        <v>2021</v>
      </c>
      <c r="B75" s="17">
        <v>22</v>
      </c>
      <c r="C75" s="18" t="s">
        <v>98</v>
      </c>
      <c r="D75" s="19">
        <v>176598</v>
      </c>
      <c r="E75" s="19">
        <v>28902</v>
      </c>
      <c r="F75" s="19">
        <v>147696</v>
      </c>
    </row>
    <row r="76" customHeight="1" spans="1:6">
      <c r="A76" s="17">
        <v>2021</v>
      </c>
      <c r="B76" s="17">
        <v>23</v>
      </c>
      <c r="C76" s="18" t="s">
        <v>100</v>
      </c>
      <c r="D76" s="19">
        <v>165800</v>
      </c>
      <c r="E76" s="19">
        <v>40325</v>
      </c>
      <c r="F76" s="19">
        <v>125475</v>
      </c>
    </row>
    <row r="77" customHeight="1" spans="1:6">
      <c r="A77" s="17">
        <v>2021</v>
      </c>
      <c r="B77" s="17">
        <v>24</v>
      </c>
      <c r="C77" s="18" t="s">
        <v>93</v>
      </c>
      <c r="D77" s="19">
        <v>164366</v>
      </c>
      <c r="E77" s="19">
        <v>98000</v>
      </c>
      <c r="F77" s="19">
        <v>66366</v>
      </c>
    </row>
    <row r="78" customHeight="1" spans="1:6">
      <c r="A78" s="17">
        <v>2021</v>
      </c>
      <c r="B78" s="17">
        <v>25</v>
      </c>
      <c r="C78" s="18" t="s">
        <v>96</v>
      </c>
      <c r="D78" s="19">
        <v>154652</v>
      </c>
      <c r="E78" s="18">
        <v>510</v>
      </c>
      <c r="F78" s="19">
        <v>154143</v>
      </c>
    </row>
    <row r="79" customHeight="1" spans="1:6">
      <c r="A79" s="17">
        <v>2021</v>
      </c>
      <c r="B79" s="17">
        <v>26</v>
      </c>
      <c r="C79" s="18" t="s">
        <v>92</v>
      </c>
      <c r="D79" s="19">
        <v>119837</v>
      </c>
      <c r="E79" s="19">
        <v>119713</v>
      </c>
      <c r="F79" s="18">
        <v>124</v>
      </c>
    </row>
    <row r="80" customHeight="1" spans="1:6">
      <c r="A80" s="17">
        <v>2021</v>
      </c>
      <c r="B80" s="17">
        <v>27</v>
      </c>
      <c r="C80" s="18" t="s">
        <v>99</v>
      </c>
      <c r="D80" s="19">
        <v>118037</v>
      </c>
      <c r="E80" s="19">
        <v>116414</v>
      </c>
      <c r="F80" s="19">
        <v>1623</v>
      </c>
    </row>
    <row r="81" customHeight="1" spans="1:6">
      <c r="A81" s="17">
        <v>2022</v>
      </c>
      <c r="B81" s="17">
        <v>1</v>
      </c>
      <c r="C81" s="18" t="s">
        <v>17</v>
      </c>
      <c r="D81" s="19">
        <v>13396567</v>
      </c>
      <c r="E81" s="19">
        <v>11169867</v>
      </c>
      <c r="F81" s="19">
        <v>2226701</v>
      </c>
    </row>
    <row r="82" customHeight="1" spans="1:6">
      <c r="A82" s="17">
        <v>2022</v>
      </c>
      <c r="B82" s="17">
        <v>2</v>
      </c>
      <c r="C82" s="18" t="s">
        <v>18</v>
      </c>
      <c r="D82" s="19">
        <v>2290977</v>
      </c>
      <c r="E82" s="19">
        <v>1576275</v>
      </c>
      <c r="F82" s="19">
        <v>714702</v>
      </c>
    </row>
    <row r="83" customHeight="1" spans="1:6">
      <c r="A83" s="17">
        <v>2022</v>
      </c>
      <c r="B83" s="17">
        <v>3</v>
      </c>
      <c r="C83" s="18" t="s">
        <v>19</v>
      </c>
      <c r="D83" s="19">
        <v>1945227</v>
      </c>
      <c r="E83" s="19">
        <v>1938532</v>
      </c>
      <c r="F83" s="19">
        <v>6695</v>
      </c>
    </row>
    <row r="84" customHeight="1" spans="1:6">
      <c r="A84" s="17">
        <v>2022</v>
      </c>
      <c r="B84" s="17">
        <v>4</v>
      </c>
      <c r="C84" s="18" t="s">
        <v>20</v>
      </c>
      <c r="D84" s="19">
        <v>1644737</v>
      </c>
      <c r="E84" s="19">
        <v>1156052</v>
      </c>
      <c r="F84" s="19">
        <v>488685</v>
      </c>
    </row>
    <row r="85" customHeight="1" spans="1:6">
      <c r="A85" s="17">
        <v>2022</v>
      </c>
      <c r="B85" s="17">
        <v>5</v>
      </c>
      <c r="C85" s="18" t="s">
        <v>21</v>
      </c>
      <c r="D85" s="19">
        <v>1530171</v>
      </c>
      <c r="E85" s="19">
        <v>1164021</v>
      </c>
      <c r="F85" s="19">
        <v>366150</v>
      </c>
    </row>
    <row r="86" customHeight="1" spans="1:6">
      <c r="A86" s="17">
        <v>2022</v>
      </c>
      <c r="B86" s="17">
        <v>6</v>
      </c>
      <c r="C86" s="18" t="s">
        <v>103</v>
      </c>
      <c r="D86" s="19">
        <v>1350637</v>
      </c>
      <c r="E86" s="19">
        <v>1327644</v>
      </c>
      <c r="F86" s="19">
        <v>22994</v>
      </c>
    </row>
    <row r="87" customHeight="1" spans="1:6">
      <c r="A87" s="17">
        <v>2022</v>
      </c>
      <c r="B87" s="17">
        <v>7</v>
      </c>
      <c r="C87" s="18" t="s">
        <v>89</v>
      </c>
      <c r="D87" s="19">
        <v>1172530</v>
      </c>
      <c r="E87" s="19">
        <v>1146169</v>
      </c>
      <c r="F87" s="19">
        <v>26361</v>
      </c>
    </row>
    <row r="88" customHeight="1" spans="1:6">
      <c r="A88" s="17">
        <v>2022</v>
      </c>
      <c r="B88" s="17">
        <v>8</v>
      </c>
      <c r="C88" s="18" t="s">
        <v>102</v>
      </c>
      <c r="D88" s="19">
        <v>895334</v>
      </c>
      <c r="E88" s="19">
        <v>890888</v>
      </c>
      <c r="F88" s="19">
        <v>4446</v>
      </c>
    </row>
    <row r="89" customHeight="1" spans="1:6">
      <c r="A89" s="17">
        <v>2022</v>
      </c>
      <c r="B89" s="17">
        <v>9</v>
      </c>
      <c r="C89" s="18" t="s">
        <v>37</v>
      </c>
      <c r="D89" s="19">
        <v>876216</v>
      </c>
      <c r="E89" s="19">
        <v>854230</v>
      </c>
      <c r="F89" s="19">
        <v>21986</v>
      </c>
    </row>
    <row r="90" customHeight="1" spans="1:6">
      <c r="A90" s="17">
        <v>2022</v>
      </c>
      <c r="B90" s="17">
        <v>10</v>
      </c>
      <c r="C90" s="18" t="s">
        <v>94</v>
      </c>
      <c r="D90" s="19">
        <v>811729</v>
      </c>
      <c r="E90" s="19">
        <v>692137</v>
      </c>
      <c r="F90" s="19">
        <v>119592</v>
      </c>
    </row>
    <row r="91" customHeight="1" spans="1:6">
      <c r="A91" s="17">
        <v>2022</v>
      </c>
      <c r="B91" s="17">
        <v>11</v>
      </c>
      <c r="C91" s="18" t="s">
        <v>91</v>
      </c>
      <c r="D91" s="19">
        <v>732360</v>
      </c>
      <c r="E91" s="19">
        <v>516017</v>
      </c>
      <c r="F91" s="19">
        <v>216343</v>
      </c>
    </row>
    <row r="92" customHeight="1" spans="1:6">
      <c r="A92" s="17">
        <v>2022</v>
      </c>
      <c r="B92" s="17">
        <v>12</v>
      </c>
      <c r="C92" s="18" t="s">
        <v>39</v>
      </c>
      <c r="D92" s="19">
        <v>633885</v>
      </c>
      <c r="E92" s="19">
        <v>612722</v>
      </c>
      <c r="F92" s="19">
        <v>21163</v>
      </c>
    </row>
    <row r="93" customHeight="1" spans="1:6">
      <c r="A93" s="17">
        <v>2022</v>
      </c>
      <c r="B93" s="17">
        <v>13</v>
      </c>
      <c r="C93" s="18" t="s">
        <v>95</v>
      </c>
      <c r="D93" s="19">
        <v>597186</v>
      </c>
      <c r="E93" s="19">
        <v>588834</v>
      </c>
      <c r="F93" s="19">
        <v>8352</v>
      </c>
    </row>
    <row r="94" customHeight="1" spans="1:6">
      <c r="A94" s="17">
        <v>2022</v>
      </c>
      <c r="B94" s="17">
        <v>14</v>
      </c>
      <c r="C94" s="18" t="s">
        <v>90</v>
      </c>
      <c r="D94" s="19">
        <v>592543</v>
      </c>
      <c r="E94" s="19">
        <v>223447</v>
      </c>
      <c r="F94" s="19">
        <v>369097</v>
      </c>
    </row>
    <row r="95" customHeight="1" spans="1:6">
      <c r="A95" s="17">
        <v>2022</v>
      </c>
      <c r="B95" s="17">
        <v>15</v>
      </c>
      <c r="C95" s="18" t="s">
        <v>31</v>
      </c>
      <c r="D95" s="19">
        <v>384391</v>
      </c>
      <c r="E95" s="19">
        <v>30989</v>
      </c>
      <c r="F95" s="19">
        <v>353402</v>
      </c>
    </row>
    <row r="96" customHeight="1" spans="1:6">
      <c r="A96" s="17">
        <v>2022</v>
      </c>
      <c r="B96" s="17">
        <v>16</v>
      </c>
      <c r="C96" s="18" t="s">
        <v>101</v>
      </c>
      <c r="D96" s="19">
        <v>334039</v>
      </c>
      <c r="E96" s="19">
        <v>333612</v>
      </c>
      <c r="F96" s="18">
        <v>427</v>
      </c>
    </row>
    <row r="97" customHeight="1" spans="1:6">
      <c r="A97" s="17">
        <v>2022</v>
      </c>
      <c r="B97" s="17">
        <v>17</v>
      </c>
      <c r="C97" s="18" t="s">
        <v>35</v>
      </c>
      <c r="D97" s="19">
        <v>320745</v>
      </c>
      <c r="E97" s="19">
        <v>6419</v>
      </c>
      <c r="F97" s="19">
        <v>314326</v>
      </c>
    </row>
    <row r="98" customHeight="1" spans="1:6">
      <c r="A98" s="17">
        <v>2022</v>
      </c>
      <c r="B98" s="17">
        <v>18</v>
      </c>
      <c r="C98" s="18" t="s">
        <v>87</v>
      </c>
      <c r="D98" s="19">
        <v>291794</v>
      </c>
      <c r="E98" s="19">
        <v>282327</v>
      </c>
      <c r="F98" s="19">
        <v>9467</v>
      </c>
    </row>
    <row r="99" customHeight="1" spans="1:6">
      <c r="A99" s="17">
        <v>2022</v>
      </c>
      <c r="B99" s="17">
        <v>19</v>
      </c>
      <c r="C99" s="18" t="s">
        <v>33</v>
      </c>
      <c r="D99" s="19">
        <v>289307</v>
      </c>
      <c r="E99" s="19">
        <v>2285</v>
      </c>
      <c r="F99" s="19">
        <v>287022</v>
      </c>
    </row>
    <row r="100" customHeight="1" spans="1:6">
      <c r="A100" s="17">
        <v>2022</v>
      </c>
      <c r="B100" s="17">
        <v>20</v>
      </c>
      <c r="C100" s="18" t="s">
        <v>97</v>
      </c>
      <c r="D100" s="19">
        <v>287844</v>
      </c>
      <c r="E100" s="19">
        <v>1352</v>
      </c>
      <c r="F100" s="19">
        <v>286492</v>
      </c>
    </row>
    <row r="101" customHeight="1" spans="1:6">
      <c r="A101" s="17">
        <v>2022</v>
      </c>
      <c r="B101" s="17">
        <v>21</v>
      </c>
      <c r="C101" s="18" t="s">
        <v>88</v>
      </c>
      <c r="D101" s="19">
        <v>244904</v>
      </c>
      <c r="E101" s="19">
        <v>244497</v>
      </c>
      <c r="F101" s="18">
        <v>408</v>
      </c>
    </row>
    <row r="102" customHeight="1" spans="1:6">
      <c r="A102" s="17">
        <v>2022</v>
      </c>
      <c r="B102" s="17">
        <v>22</v>
      </c>
      <c r="C102" s="18" t="s">
        <v>98</v>
      </c>
      <c r="D102" s="19">
        <v>175989</v>
      </c>
      <c r="E102" s="19">
        <v>29387</v>
      </c>
      <c r="F102" s="19">
        <v>146602</v>
      </c>
    </row>
    <row r="103" customHeight="1" spans="1:6">
      <c r="A103" s="17">
        <v>2022</v>
      </c>
      <c r="B103" s="17">
        <v>23</v>
      </c>
      <c r="C103" s="18" t="s">
        <v>96</v>
      </c>
      <c r="D103" s="19">
        <v>166276</v>
      </c>
      <c r="E103" s="19">
        <v>1241</v>
      </c>
      <c r="F103" s="19">
        <v>165034</v>
      </c>
    </row>
    <row r="104" customHeight="1" spans="1:6">
      <c r="A104" s="17">
        <v>2022</v>
      </c>
      <c r="B104" s="17">
        <v>24</v>
      </c>
      <c r="C104" s="18" t="s">
        <v>100</v>
      </c>
      <c r="D104" s="19">
        <v>154114</v>
      </c>
      <c r="E104" s="19">
        <v>37304</v>
      </c>
      <c r="F104" s="19">
        <v>116810</v>
      </c>
    </row>
    <row r="105" customHeight="1" spans="1:6">
      <c r="A105" s="17">
        <v>2022</v>
      </c>
      <c r="B105" s="17">
        <v>25</v>
      </c>
      <c r="C105" s="18" t="s">
        <v>93</v>
      </c>
      <c r="D105" s="19">
        <v>151525</v>
      </c>
      <c r="E105" s="19">
        <v>78575</v>
      </c>
      <c r="F105" s="19">
        <v>72950</v>
      </c>
    </row>
    <row r="106" customHeight="1" spans="1:6">
      <c r="A106" s="17">
        <v>2022</v>
      </c>
      <c r="B106" s="17">
        <v>26</v>
      </c>
      <c r="C106" s="18" t="s">
        <v>99</v>
      </c>
      <c r="D106" s="19">
        <v>126194</v>
      </c>
      <c r="E106" s="19">
        <v>126135</v>
      </c>
      <c r="F106" s="18">
        <v>59</v>
      </c>
    </row>
    <row r="107" customHeight="1" spans="1:6">
      <c r="A107" s="17">
        <v>2022</v>
      </c>
      <c r="B107" s="17">
        <v>27</v>
      </c>
      <c r="C107" s="18" t="s">
        <v>92</v>
      </c>
      <c r="D107" s="19">
        <v>110602</v>
      </c>
      <c r="E107" s="19">
        <v>110450</v>
      </c>
      <c r="F107" s="18">
        <v>152</v>
      </c>
    </row>
    <row r="108" customHeight="1" spans="1:6">
      <c r="A108" s="17">
        <v>2023</v>
      </c>
      <c r="B108" s="17">
        <v>1</v>
      </c>
      <c r="C108" s="18" t="s">
        <v>17</v>
      </c>
      <c r="D108" s="19">
        <v>13709979</v>
      </c>
      <c r="E108" s="19">
        <v>11442725</v>
      </c>
      <c r="F108" s="19">
        <v>2267254</v>
      </c>
    </row>
    <row r="109" customHeight="1" spans="1:6">
      <c r="A109" s="17">
        <v>2023</v>
      </c>
      <c r="B109" s="17">
        <v>2</v>
      </c>
      <c r="C109" s="18" t="s">
        <v>18</v>
      </c>
      <c r="D109" s="19">
        <v>2363634</v>
      </c>
      <c r="E109" s="19">
        <v>1639301</v>
      </c>
      <c r="F109" s="19">
        <v>724334</v>
      </c>
    </row>
    <row r="110" customHeight="1" spans="1:6">
      <c r="A110" s="17">
        <v>2023</v>
      </c>
      <c r="B110" s="17">
        <v>3</v>
      </c>
      <c r="C110" s="18" t="s">
        <v>19</v>
      </c>
      <c r="D110" s="19">
        <v>2060096</v>
      </c>
      <c r="E110" s="19">
        <v>2053212</v>
      </c>
      <c r="F110" s="19">
        <v>6884</v>
      </c>
    </row>
    <row r="111" customHeight="1" spans="1:6">
      <c r="A111" s="17">
        <v>2023</v>
      </c>
      <c r="B111" s="17">
        <v>4</v>
      </c>
      <c r="C111" s="18" t="s">
        <v>20</v>
      </c>
      <c r="D111" s="19">
        <v>1684930</v>
      </c>
      <c r="E111" s="19">
        <v>1190663</v>
      </c>
      <c r="F111" s="19">
        <v>494267</v>
      </c>
    </row>
    <row r="112" customHeight="1" spans="1:6">
      <c r="A112" s="17">
        <v>2023</v>
      </c>
      <c r="B112" s="17">
        <v>5</v>
      </c>
      <c r="C112" s="18" t="s">
        <v>21</v>
      </c>
      <c r="D112" s="19">
        <v>1581886</v>
      </c>
      <c r="E112" s="19">
        <v>1206485</v>
      </c>
      <c r="F112" s="19">
        <v>375401</v>
      </c>
    </row>
    <row r="113" customHeight="1" spans="1:6">
      <c r="A113" s="17">
        <v>2023</v>
      </c>
      <c r="B113" s="17">
        <v>6</v>
      </c>
      <c r="C113" s="18" t="s">
        <v>103</v>
      </c>
      <c r="D113" s="19">
        <v>1424592</v>
      </c>
      <c r="E113" s="19">
        <v>1401196</v>
      </c>
      <c r="F113" s="19">
        <v>23395</v>
      </c>
    </row>
    <row r="114" customHeight="1" spans="1:6">
      <c r="A114" s="17">
        <v>2023</v>
      </c>
      <c r="B114" s="17">
        <v>7</v>
      </c>
      <c r="C114" s="18" t="s">
        <v>89</v>
      </c>
      <c r="D114" s="19">
        <v>1208259</v>
      </c>
      <c r="E114" s="19">
        <v>1180678</v>
      </c>
      <c r="F114" s="19">
        <v>27582</v>
      </c>
    </row>
    <row r="115" customHeight="1" spans="1:6">
      <c r="A115" s="17">
        <v>2023</v>
      </c>
      <c r="B115" s="17">
        <v>8</v>
      </c>
      <c r="C115" s="18" t="s">
        <v>102</v>
      </c>
      <c r="D115" s="19">
        <v>932385</v>
      </c>
      <c r="E115" s="19">
        <v>927806</v>
      </c>
      <c r="F115" s="19">
        <v>4579</v>
      </c>
    </row>
    <row r="116" customHeight="1" spans="1:6">
      <c r="A116" s="17">
        <v>2023</v>
      </c>
      <c r="B116" s="17">
        <v>9</v>
      </c>
      <c r="C116" s="18" t="s">
        <v>37</v>
      </c>
      <c r="D116" s="19">
        <v>904927</v>
      </c>
      <c r="E116" s="19">
        <v>882394</v>
      </c>
      <c r="F116" s="19">
        <v>22534</v>
      </c>
    </row>
    <row r="117" customHeight="1" spans="1:6">
      <c r="A117" s="17">
        <v>2023</v>
      </c>
      <c r="B117" s="17">
        <v>10</v>
      </c>
      <c r="C117" s="18" t="s">
        <v>94</v>
      </c>
      <c r="D117" s="19">
        <v>834749</v>
      </c>
      <c r="E117" s="19">
        <v>712369</v>
      </c>
      <c r="F117" s="19">
        <v>122380</v>
      </c>
    </row>
    <row r="118" customHeight="1" spans="1:6">
      <c r="A118" s="17">
        <v>2023</v>
      </c>
      <c r="B118" s="17">
        <v>11</v>
      </c>
      <c r="C118" s="18" t="s">
        <v>91</v>
      </c>
      <c r="D118" s="19">
        <v>764302</v>
      </c>
      <c r="E118" s="19">
        <v>544566</v>
      </c>
      <c r="F118" s="19">
        <v>219736</v>
      </c>
    </row>
    <row r="119" customHeight="1" spans="1:6">
      <c r="A119" s="17">
        <v>2023</v>
      </c>
      <c r="B119" s="17">
        <v>12</v>
      </c>
      <c r="C119" s="18" t="s">
        <v>39</v>
      </c>
      <c r="D119" s="19">
        <v>650600</v>
      </c>
      <c r="E119" s="19">
        <v>628580</v>
      </c>
      <c r="F119" s="19">
        <v>22020</v>
      </c>
    </row>
    <row r="120" customHeight="1" spans="1:6">
      <c r="A120" s="17">
        <v>2023</v>
      </c>
      <c r="B120" s="17">
        <v>13</v>
      </c>
      <c r="C120" s="18" t="s">
        <v>90</v>
      </c>
      <c r="D120" s="19">
        <v>607552</v>
      </c>
      <c r="E120" s="19">
        <v>230949</v>
      </c>
      <c r="F120" s="19">
        <v>376602</v>
      </c>
    </row>
    <row r="121" customHeight="1" spans="1:6">
      <c r="A121" s="17">
        <v>2023</v>
      </c>
      <c r="B121" s="17">
        <v>14</v>
      </c>
      <c r="C121" s="18" t="s">
        <v>95</v>
      </c>
      <c r="D121" s="19">
        <v>585172</v>
      </c>
      <c r="E121" s="19">
        <v>576928</v>
      </c>
      <c r="F121" s="19">
        <v>8244</v>
      </c>
    </row>
    <row r="122" customHeight="1" spans="1:6">
      <c r="A122" s="17">
        <v>2023</v>
      </c>
      <c r="B122" s="17">
        <v>15</v>
      </c>
      <c r="C122" s="18" t="s">
        <v>31</v>
      </c>
      <c r="D122" s="19">
        <v>391768</v>
      </c>
      <c r="E122" s="19">
        <v>31897</v>
      </c>
      <c r="F122" s="19">
        <v>359871</v>
      </c>
    </row>
    <row r="123" customHeight="1" spans="1:6">
      <c r="A123" s="17">
        <v>2023</v>
      </c>
      <c r="B123" s="17">
        <v>16</v>
      </c>
      <c r="C123" s="18" t="s">
        <v>101</v>
      </c>
      <c r="D123" s="19">
        <v>342063</v>
      </c>
      <c r="E123" s="19">
        <v>341622</v>
      </c>
      <c r="F123" s="18">
        <v>441</v>
      </c>
    </row>
    <row r="124" customHeight="1" spans="1:6">
      <c r="A124" s="17">
        <v>2023</v>
      </c>
      <c r="B124" s="17">
        <v>17</v>
      </c>
      <c r="C124" s="18" t="s">
        <v>35</v>
      </c>
      <c r="D124" s="19">
        <v>331047</v>
      </c>
      <c r="E124" s="19">
        <v>6508</v>
      </c>
      <c r="F124" s="19">
        <v>324539</v>
      </c>
    </row>
    <row r="125" customHeight="1" spans="1:6">
      <c r="A125" s="17">
        <v>2023</v>
      </c>
      <c r="B125" s="17">
        <v>18</v>
      </c>
      <c r="C125" s="18" t="s">
        <v>87</v>
      </c>
      <c r="D125" s="19">
        <v>301261</v>
      </c>
      <c r="E125" s="19">
        <v>291183</v>
      </c>
      <c r="F125" s="19">
        <v>10078</v>
      </c>
    </row>
    <row r="126" customHeight="1" spans="1:6">
      <c r="A126" s="17">
        <v>2023</v>
      </c>
      <c r="B126" s="17">
        <v>19</v>
      </c>
      <c r="C126" s="18" t="s">
        <v>33</v>
      </c>
      <c r="D126" s="19">
        <v>296638</v>
      </c>
      <c r="E126" s="19">
        <v>2436</v>
      </c>
      <c r="F126" s="19">
        <v>294202</v>
      </c>
    </row>
    <row r="127" customHeight="1" spans="1:6">
      <c r="A127" s="17">
        <v>2023</v>
      </c>
      <c r="B127" s="17">
        <v>20</v>
      </c>
      <c r="C127" s="18" t="s">
        <v>97</v>
      </c>
      <c r="D127" s="19">
        <v>294667</v>
      </c>
      <c r="E127" s="19">
        <v>1372</v>
      </c>
      <c r="F127" s="19">
        <v>293295</v>
      </c>
    </row>
    <row r="128" customHeight="1" spans="1:6">
      <c r="A128" s="17">
        <v>2023</v>
      </c>
      <c r="B128" s="17">
        <v>21</v>
      </c>
      <c r="C128" s="18" t="s">
        <v>88</v>
      </c>
      <c r="D128" s="19">
        <v>254996</v>
      </c>
      <c r="E128" s="19">
        <v>254575</v>
      </c>
      <c r="F128" s="18">
        <v>421</v>
      </c>
    </row>
    <row r="129" customHeight="1" spans="1:6">
      <c r="A129" s="17">
        <v>2023</v>
      </c>
      <c r="B129" s="17">
        <v>22</v>
      </c>
      <c r="C129" s="18" t="s">
        <v>98</v>
      </c>
      <c r="D129" s="19">
        <v>179898</v>
      </c>
      <c r="E129" s="19">
        <v>29649</v>
      </c>
      <c r="F129" s="19">
        <v>150250</v>
      </c>
    </row>
    <row r="130" customHeight="1" spans="1:6">
      <c r="A130" s="17">
        <v>2023</v>
      </c>
      <c r="B130" s="17">
        <v>23</v>
      </c>
      <c r="C130" s="18" t="s">
        <v>96</v>
      </c>
      <c r="D130" s="19">
        <v>171315</v>
      </c>
      <c r="E130" s="19">
        <v>1265</v>
      </c>
      <c r="F130" s="19">
        <v>170051</v>
      </c>
    </row>
    <row r="131" customHeight="1" spans="1:6">
      <c r="A131" s="17">
        <v>2023</v>
      </c>
      <c r="B131" s="17">
        <v>24</v>
      </c>
      <c r="C131" s="18" t="s">
        <v>100</v>
      </c>
      <c r="D131" s="19">
        <v>158182</v>
      </c>
      <c r="E131" s="19">
        <v>37749</v>
      </c>
      <c r="F131" s="19">
        <v>120432</v>
      </c>
    </row>
    <row r="132" customHeight="1" spans="1:6">
      <c r="A132" s="17">
        <v>2023</v>
      </c>
      <c r="B132" s="17">
        <v>25</v>
      </c>
      <c r="C132" s="18" t="s">
        <v>93</v>
      </c>
      <c r="D132" s="19">
        <v>154189</v>
      </c>
      <c r="E132" s="19">
        <v>80524</v>
      </c>
      <c r="F132" s="19">
        <v>73665</v>
      </c>
    </row>
    <row r="133" customHeight="1" spans="1:6">
      <c r="A133" s="17">
        <v>2023</v>
      </c>
      <c r="B133" s="17">
        <v>26</v>
      </c>
      <c r="C133" s="18" t="s">
        <v>99</v>
      </c>
      <c r="D133" s="19">
        <v>130960</v>
      </c>
      <c r="E133" s="19">
        <v>130899</v>
      </c>
      <c r="F133" s="18">
        <v>61</v>
      </c>
    </row>
    <row r="134" customHeight="1" spans="1:6">
      <c r="A134" s="17">
        <v>2023</v>
      </c>
      <c r="B134" s="17">
        <v>27</v>
      </c>
      <c r="C134" s="18" t="s">
        <v>92</v>
      </c>
      <c r="D134" s="19">
        <v>109136</v>
      </c>
      <c r="E134" s="19">
        <v>108977</v>
      </c>
      <c r="F134" s="18">
        <v>159</v>
      </c>
    </row>
    <row r="135" customHeight="1" spans="1:6">
      <c r="A135" s="17">
        <v>2024</v>
      </c>
      <c r="B135" s="17">
        <v>1</v>
      </c>
      <c r="C135" s="18" t="s">
        <v>17</v>
      </c>
      <c r="D135" s="19">
        <v>14013899</v>
      </c>
      <c r="E135" s="19">
        <v>11731239</v>
      </c>
      <c r="F135" s="19">
        <v>2282660</v>
      </c>
    </row>
    <row r="136" customHeight="1" spans="1:6">
      <c r="A136" s="17">
        <v>2024</v>
      </c>
      <c r="B136" s="17">
        <v>2</v>
      </c>
      <c r="C136" s="18" t="s">
        <v>18</v>
      </c>
      <c r="D136" s="19">
        <v>2481459</v>
      </c>
      <c r="E136" s="19">
        <v>1751817</v>
      </c>
      <c r="F136" s="19">
        <v>729643</v>
      </c>
    </row>
    <row r="137" customHeight="1" spans="1:6">
      <c r="A137" s="17">
        <v>2024</v>
      </c>
      <c r="B137" s="17">
        <v>3</v>
      </c>
      <c r="C137" s="18" t="s">
        <v>19</v>
      </c>
      <c r="D137" s="19">
        <v>2219250</v>
      </c>
      <c r="E137" s="19">
        <v>2212329</v>
      </c>
      <c r="F137" s="19">
        <v>6922</v>
      </c>
    </row>
    <row r="138" customHeight="1" spans="1:6">
      <c r="A138" s="17">
        <v>2024</v>
      </c>
      <c r="B138" s="17">
        <v>4</v>
      </c>
      <c r="C138" s="18" t="s">
        <v>20</v>
      </c>
      <c r="D138" s="19">
        <v>1706720</v>
      </c>
      <c r="E138" s="19">
        <v>1208404</v>
      </c>
      <c r="F138" s="19">
        <v>498316</v>
      </c>
    </row>
    <row r="139" customHeight="1" spans="1:6">
      <c r="A139" s="17">
        <v>2024</v>
      </c>
      <c r="B139" s="17">
        <v>5</v>
      </c>
      <c r="C139" s="18" t="s">
        <v>21</v>
      </c>
      <c r="D139" s="19">
        <v>1622046</v>
      </c>
      <c r="E139" s="19">
        <v>1237913</v>
      </c>
      <c r="F139" s="19">
        <v>384133</v>
      </c>
    </row>
    <row r="140" customHeight="1" spans="1:6">
      <c r="A140" s="17">
        <v>2024</v>
      </c>
      <c r="B140" s="17">
        <v>6</v>
      </c>
      <c r="C140" s="18" t="s">
        <v>103</v>
      </c>
      <c r="D140" s="19">
        <v>1521332</v>
      </c>
      <c r="E140" s="19">
        <v>1498331</v>
      </c>
      <c r="F140" s="19">
        <v>23001</v>
      </c>
    </row>
    <row r="141" customHeight="1" spans="1:6">
      <c r="A141" s="17">
        <v>2024</v>
      </c>
      <c r="B141" s="17">
        <v>7</v>
      </c>
      <c r="C141" s="18" t="s">
        <v>89</v>
      </c>
      <c r="D141" s="19">
        <v>1230773</v>
      </c>
      <c r="E141" s="19">
        <v>1202552</v>
      </c>
      <c r="F141" s="19">
        <v>28221</v>
      </c>
    </row>
    <row r="142" customHeight="1" spans="1:6">
      <c r="A142" s="17">
        <v>2024</v>
      </c>
      <c r="B142" s="17">
        <v>8</v>
      </c>
      <c r="C142" s="18" t="s">
        <v>102</v>
      </c>
      <c r="D142" s="19">
        <v>977055</v>
      </c>
      <c r="E142" s="19">
        <v>972403</v>
      </c>
      <c r="F142" s="19">
        <v>4652</v>
      </c>
    </row>
    <row r="143" customHeight="1" spans="1:6">
      <c r="A143" s="17">
        <v>2024</v>
      </c>
      <c r="B143" s="17">
        <v>9</v>
      </c>
      <c r="C143" s="18" t="s">
        <v>37</v>
      </c>
      <c r="D143" s="19">
        <v>948248</v>
      </c>
      <c r="E143" s="19">
        <v>925400</v>
      </c>
      <c r="F143" s="19">
        <v>22849</v>
      </c>
    </row>
    <row r="144" customHeight="1" spans="1:6">
      <c r="A144" s="17">
        <v>2024</v>
      </c>
      <c r="B144" s="17">
        <v>10</v>
      </c>
      <c r="C144" s="18" t="s">
        <v>94</v>
      </c>
      <c r="D144" s="19">
        <v>853749</v>
      </c>
      <c r="E144" s="19">
        <v>729182</v>
      </c>
      <c r="F144" s="19">
        <v>124567</v>
      </c>
    </row>
    <row r="145" customHeight="1" spans="1:6">
      <c r="A145" s="17">
        <v>2024</v>
      </c>
      <c r="B145" s="17">
        <v>11</v>
      </c>
      <c r="C145" s="18" t="s">
        <v>91</v>
      </c>
      <c r="D145" s="19">
        <v>801831</v>
      </c>
      <c r="E145" s="19">
        <v>579811</v>
      </c>
      <c r="F145" s="19">
        <v>222019</v>
      </c>
    </row>
    <row r="146" customHeight="1" spans="1:6">
      <c r="A146" s="17">
        <v>2024</v>
      </c>
      <c r="B146" s="17">
        <v>12</v>
      </c>
      <c r="C146" s="18" t="s">
        <v>39</v>
      </c>
      <c r="D146" s="19">
        <v>661182</v>
      </c>
      <c r="E146" s="19">
        <v>638836</v>
      </c>
      <c r="F146" s="19">
        <v>22346</v>
      </c>
    </row>
    <row r="147" customHeight="1" spans="1:6">
      <c r="A147" s="17">
        <v>2024</v>
      </c>
      <c r="B147" s="17">
        <v>13</v>
      </c>
      <c r="C147" s="18" t="s">
        <v>90</v>
      </c>
      <c r="D147" s="19">
        <v>622561</v>
      </c>
      <c r="E147" s="19">
        <v>236383</v>
      </c>
      <c r="F147" s="19">
        <v>386177</v>
      </c>
    </row>
    <row r="148" customHeight="1" spans="1:6">
      <c r="A148" s="17">
        <v>2024</v>
      </c>
      <c r="B148" s="17">
        <v>14</v>
      </c>
      <c r="C148" s="18" t="s">
        <v>95</v>
      </c>
      <c r="D148" s="19">
        <v>587166</v>
      </c>
      <c r="E148" s="19">
        <v>578895</v>
      </c>
      <c r="F148" s="19">
        <v>8271</v>
      </c>
    </row>
    <row r="149" customHeight="1" spans="1:6">
      <c r="A149" s="17">
        <v>2024</v>
      </c>
      <c r="B149" s="17">
        <v>15</v>
      </c>
      <c r="C149" s="18" t="s">
        <v>31</v>
      </c>
      <c r="D149" s="19">
        <v>394866</v>
      </c>
      <c r="E149" s="19">
        <v>32065</v>
      </c>
      <c r="F149" s="19">
        <v>362801</v>
      </c>
    </row>
    <row r="150" customHeight="1" spans="1:6">
      <c r="A150" s="17">
        <v>2024</v>
      </c>
      <c r="B150" s="17">
        <v>16</v>
      </c>
      <c r="C150" s="18" t="s">
        <v>101</v>
      </c>
      <c r="D150" s="19">
        <v>347825</v>
      </c>
      <c r="E150" s="19">
        <v>347353</v>
      </c>
      <c r="F150" s="18">
        <v>472</v>
      </c>
    </row>
    <row r="151" customHeight="1" spans="1:6">
      <c r="A151" s="17">
        <v>2024</v>
      </c>
      <c r="B151" s="17">
        <v>17</v>
      </c>
      <c r="C151" s="18" t="s">
        <v>35</v>
      </c>
      <c r="D151" s="19">
        <v>339737</v>
      </c>
      <c r="E151" s="19">
        <v>6458</v>
      </c>
      <c r="F151" s="19">
        <v>333279</v>
      </c>
    </row>
    <row r="152" customHeight="1" spans="1:6">
      <c r="A152" s="17">
        <v>2024</v>
      </c>
      <c r="B152" s="17">
        <v>18</v>
      </c>
      <c r="C152" s="18" t="s">
        <v>87</v>
      </c>
      <c r="D152" s="19">
        <v>307064</v>
      </c>
      <c r="E152" s="19">
        <v>297001</v>
      </c>
      <c r="F152" s="19">
        <v>10063</v>
      </c>
    </row>
    <row r="153" customHeight="1" spans="1:6">
      <c r="A153" s="17">
        <v>2024</v>
      </c>
      <c r="B153" s="17">
        <v>19</v>
      </c>
      <c r="C153" s="18" t="s">
        <v>97</v>
      </c>
      <c r="D153" s="19">
        <v>305231</v>
      </c>
      <c r="E153" s="19">
        <v>1386</v>
      </c>
      <c r="F153" s="19">
        <v>303845</v>
      </c>
    </row>
    <row r="154" customHeight="1" spans="1:6">
      <c r="A154" s="17">
        <v>2024</v>
      </c>
      <c r="B154" s="17">
        <v>20</v>
      </c>
      <c r="C154" s="18" t="s">
        <v>33</v>
      </c>
      <c r="D154" s="19">
        <v>302922</v>
      </c>
      <c r="E154" s="19">
        <v>2445</v>
      </c>
      <c r="F154" s="19">
        <v>300477</v>
      </c>
    </row>
    <row r="155" customHeight="1" spans="1:6">
      <c r="A155" s="17">
        <v>2024</v>
      </c>
      <c r="B155" s="17">
        <v>21</v>
      </c>
      <c r="C155" s="18" t="s">
        <v>88</v>
      </c>
      <c r="D155" s="19">
        <v>261458</v>
      </c>
      <c r="E155" s="19">
        <v>261020</v>
      </c>
      <c r="F155" s="18">
        <v>438</v>
      </c>
    </row>
    <row r="156" customHeight="1" spans="1:6">
      <c r="A156" s="17">
        <v>2024</v>
      </c>
      <c r="B156" s="17">
        <v>22</v>
      </c>
      <c r="C156" s="18" t="s">
        <v>98</v>
      </c>
      <c r="D156" s="19">
        <v>183551</v>
      </c>
      <c r="E156" s="19">
        <v>30395</v>
      </c>
      <c r="F156" s="19">
        <v>153156</v>
      </c>
    </row>
    <row r="157" customHeight="1" spans="1:6">
      <c r="A157" s="17">
        <v>2024</v>
      </c>
      <c r="B157" s="17">
        <v>23</v>
      </c>
      <c r="C157" s="18" t="s">
        <v>96</v>
      </c>
      <c r="D157" s="19">
        <v>176320</v>
      </c>
      <c r="E157" s="19">
        <v>1268</v>
      </c>
      <c r="F157" s="19">
        <v>175053</v>
      </c>
    </row>
    <row r="158" customHeight="1" spans="1:6">
      <c r="A158" s="17">
        <v>2024</v>
      </c>
      <c r="B158" s="17">
        <v>24</v>
      </c>
      <c r="C158" s="18" t="s">
        <v>100</v>
      </c>
      <c r="D158" s="19">
        <v>160151</v>
      </c>
      <c r="E158" s="19">
        <v>38529</v>
      </c>
      <c r="F158" s="19">
        <v>121622</v>
      </c>
    </row>
    <row r="159" customHeight="1" spans="1:6">
      <c r="A159" s="17">
        <v>2024</v>
      </c>
      <c r="B159" s="17">
        <v>25</v>
      </c>
      <c r="C159" s="18" t="s">
        <v>93</v>
      </c>
      <c r="D159" s="19">
        <v>155782</v>
      </c>
      <c r="E159" s="19">
        <v>81254</v>
      </c>
      <c r="F159" s="19">
        <v>74528</v>
      </c>
    </row>
    <row r="160" customHeight="1" spans="1:6">
      <c r="A160" s="17">
        <v>2024</v>
      </c>
      <c r="B160" s="17">
        <v>26</v>
      </c>
      <c r="C160" s="18" t="s">
        <v>99</v>
      </c>
      <c r="D160" s="19">
        <v>134883</v>
      </c>
      <c r="E160" s="19">
        <v>134820</v>
      </c>
      <c r="F160" s="18">
        <v>63</v>
      </c>
    </row>
    <row r="161" customHeight="1" spans="1:6">
      <c r="A161" s="17">
        <v>2024</v>
      </c>
      <c r="B161" s="17">
        <v>27</v>
      </c>
      <c r="C161" s="18" t="s">
        <v>92</v>
      </c>
      <c r="D161" s="19">
        <v>106411</v>
      </c>
      <c r="E161" s="19">
        <v>106256</v>
      </c>
      <c r="F161" s="18">
        <v>155</v>
      </c>
    </row>
    <row r="162" customHeight="1" spans="1:6">
      <c r="A162" s="17"/>
      <c r="B162" s="17"/>
    </row>
    <row r="163" customHeight="1" spans="1:6">
      <c r="A163" s="17"/>
      <c r="B163" s="17"/>
    </row>
    <row r="164" customHeight="1" spans="1:6">
      <c r="A164" s="17"/>
      <c r="B164" s="17"/>
    </row>
    <row r="165" customHeight="1" spans="1:6">
      <c r="A165" s="17"/>
      <c r="B165" s="17"/>
    </row>
    <row r="166" customHeight="1" spans="1:6">
      <c r="A166" s="17"/>
      <c r="B166" s="17"/>
    </row>
    <row r="167" customHeight="1" spans="1:6">
      <c r="A167" s="17"/>
      <c r="B167" s="17"/>
    </row>
    <row r="168" customHeight="1" spans="1:6">
      <c r="A168" s="17"/>
      <c r="B168" s="17"/>
    </row>
    <row r="169" customHeight="1" spans="1:6">
      <c r="A169" s="17"/>
      <c r="B169" s="17"/>
    </row>
    <row r="170" customHeight="1" spans="1:6">
      <c r="A170" s="17"/>
      <c r="B170" s="17"/>
    </row>
    <row r="171" customHeight="1" spans="1:6">
      <c r="A171" s="17"/>
      <c r="B171" s="17"/>
    </row>
    <row r="172" customHeight="1" spans="1:6">
      <c r="A172" s="17"/>
      <c r="B172" s="17"/>
    </row>
    <row r="173" customHeight="1" spans="1:6">
      <c r="A173" s="17"/>
      <c r="B173" s="17"/>
    </row>
    <row r="174" customHeight="1" spans="1:6">
      <c r="A174" s="17"/>
      <c r="B174" s="17"/>
    </row>
    <row r="175" customHeight="1" spans="1:6">
      <c r="A175" s="17"/>
      <c r="B175" s="17"/>
    </row>
    <row r="176" customHeight="1" spans="1:6">
      <c r="A176" s="17"/>
      <c r="B176" s="17"/>
    </row>
    <row r="177" customHeight="1" spans="1:2">
      <c r="A177" s="17"/>
      <c r="B177" s="17"/>
    </row>
    <row r="178" customHeight="1" spans="1:2">
      <c r="A178" s="17"/>
      <c r="B178" s="17"/>
    </row>
    <row r="179" customHeight="1" spans="1:2">
      <c r="A179" s="17"/>
      <c r="B179" s="17"/>
    </row>
    <row r="180" customHeight="1" spans="1:2">
      <c r="A180" s="17"/>
      <c r="B180" s="17"/>
    </row>
    <row r="181" customHeight="1" spans="1:2">
      <c r="A181" s="17"/>
      <c r="B181" s="17"/>
    </row>
    <row r="182" customHeight="1" spans="1:2">
      <c r="A182" s="17"/>
      <c r="B182" s="17"/>
    </row>
    <row r="183" customHeight="1" spans="1:2">
      <c r="A183" s="17"/>
      <c r="B183" s="17"/>
    </row>
    <row r="184" customHeight="1" spans="1:2">
      <c r="A184" s="17"/>
      <c r="B184" s="17"/>
    </row>
    <row r="185" customHeight="1" spans="1:2">
      <c r="A185" s="17"/>
      <c r="B185" s="17"/>
    </row>
    <row r="186" customHeight="1" spans="1:2">
      <c r="A186" s="17"/>
      <c r="B186" s="17"/>
    </row>
    <row r="187" customHeight="1" spans="1:2">
      <c r="A187" s="17"/>
      <c r="B187" s="17"/>
    </row>
    <row r="188" customHeight="1" spans="1:2">
      <c r="A188" s="17"/>
      <c r="B188" s="17"/>
    </row>
    <row r="189" customHeight="1" spans="1:2">
      <c r="A189" s="17"/>
      <c r="B189" s="17"/>
    </row>
    <row r="190" customHeight="1" spans="1:2">
      <c r="A190" s="17"/>
      <c r="B190" s="17"/>
    </row>
    <row r="191" customHeight="1" spans="1:2">
      <c r="A191" s="17"/>
      <c r="B191" s="17"/>
    </row>
    <row r="192" customHeight="1" spans="1:2">
      <c r="A192" s="17"/>
      <c r="B192" s="17"/>
    </row>
    <row r="193" customHeight="1" spans="1:2">
      <c r="A193" s="17"/>
      <c r="B193" s="17"/>
    </row>
    <row r="194" customHeight="1" spans="1:2">
      <c r="A194" s="17"/>
      <c r="B194" s="17"/>
    </row>
    <row r="195" customHeight="1" spans="1:2">
      <c r="A195" s="17"/>
      <c r="B195" s="17"/>
    </row>
    <row r="196" customHeight="1" spans="1:2">
      <c r="A196" s="17"/>
      <c r="B196" s="17"/>
    </row>
    <row r="197" customHeight="1" spans="1:2">
      <c r="A197" s="17"/>
      <c r="B197" s="17"/>
    </row>
    <row r="198" customHeight="1" spans="1:2">
      <c r="A198" s="17"/>
      <c r="B198" s="17"/>
    </row>
    <row r="199" customHeight="1" spans="1:2">
      <c r="A199" s="17"/>
      <c r="B199" s="17"/>
    </row>
    <row r="200" customHeight="1" spans="1:2">
      <c r="A200" s="17"/>
      <c r="B200" s="17"/>
    </row>
    <row r="201" customHeight="1" spans="1:2">
      <c r="A201" s="17"/>
      <c r="B201" s="17"/>
    </row>
    <row r="202" customHeight="1" spans="1:2">
      <c r="A202" s="17"/>
      <c r="B202" s="17"/>
    </row>
    <row r="203" customHeight="1" spans="1:2">
      <c r="A203" s="17"/>
      <c r="B203" s="17"/>
    </row>
    <row r="204" customHeight="1" spans="1:2">
      <c r="A204" s="17"/>
      <c r="B204" s="17"/>
    </row>
    <row r="205" customHeight="1" spans="1:2">
      <c r="A205" s="17"/>
      <c r="B205" s="17"/>
    </row>
    <row r="206" customHeight="1" spans="1:2">
      <c r="A206" s="17"/>
      <c r="B206" s="17"/>
    </row>
    <row r="207" customHeight="1" spans="1:2">
      <c r="A207" s="17"/>
      <c r="B207" s="17"/>
    </row>
    <row r="208" customHeight="1" spans="1:2">
      <c r="A208" s="17"/>
      <c r="B208" s="17"/>
    </row>
    <row r="209" customHeight="1" spans="1:2">
      <c r="A209" s="17"/>
      <c r="B209" s="17"/>
    </row>
    <row r="210" customHeight="1" spans="1:2">
      <c r="A210" s="17"/>
      <c r="B210" s="17"/>
    </row>
    <row r="211" customHeight="1" spans="1:2">
      <c r="A211" s="17"/>
      <c r="B211" s="17"/>
    </row>
    <row r="212" customHeight="1" spans="1:2">
      <c r="A212" s="17"/>
      <c r="B212" s="17"/>
    </row>
    <row r="213" customHeight="1" spans="1:2">
      <c r="A213" s="17"/>
      <c r="B213" s="17"/>
    </row>
    <row r="214" customHeight="1" spans="1:2">
      <c r="A214" s="17"/>
      <c r="B214" s="17"/>
    </row>
    <row r="215" customHeight="1" spans="1:2">
      <c r="A215" s="17"/>
      <c r="B215" s="17"/>
    </row>
    <row r="216" customHeight="1" spans="1:2">
      <c r="A216" s="17"/>
      <c r="B216" s="17"/>
    </row>
    <row r="217" customHeight="1" spans="1:2">
      <c r="A217" s="17"/>
      <c r="B217" s="17"/>
    </row>
    <row r="218" customHeight="1" spans="1:2">
      <c r="A218" s="17"/>
      <c r="B218" s="17"/>
    </row>
    <row r="219" customHeight="1" spans="1:2">
      <c r="A219" s="17"/>
      <c r="B219" s="17"/>
    </row>
    <row r="220" customHeight="1" spans="1:2">
      <c r="A220" s="17"/>
      <c r="B220" s="17"/>
    </row>
    <row r="221" customHeight="1" spans="1:2">
      <c r="A221" s="17"/>
      <c r="B221" s="17"/>
    </row>
    <row r="222" customHeight="1" spans="1:2">
      <c r="A222" s="17"/>
      <c r="B222" s="17"/>
    </row>
    <row r="223" customHeight="1" spans="1:2">
      <c r="A223" s="17"/>
      <c r="B223" s="17"/>
    </row>
    <row r="224" customHeight="1" spans="1:2">
      <c r="A224" s="17"/>
      <c r="B224" s="17"/>
    </row>
    <row r="225" customHeight="1" spans="1:2">
      <c r="A225" s="17"/>
      <c r="B225" s="17"/>
    </row>
    <row r="226" customHeight="1" spans="1:2">
      <c r="A226" s="17"/>
      <c r="B226" s="17"/>
    </row>
    <row r="227" customHeight="1" spans="1:2">
      <c r="A227" s="17"/>
      <c r="B227" s="17"/>
    </row>
    <row r="228" customHeight="1" spans="1:2">
      <c r="A228" s="17"/>
      <c r="B228" s="17"/>
    </row>
    <row r="229" customHeight="1" spans="1:2">
      <c r="A229" s="17"/>
      <c r="B229" s="17"/>
    </row>
    <row r="230" customHeight="1" spans="1:2">
      <c r="A230" s="17"/>
      <c r="B230" s="17"/>
    </row>
    <row r="231" customHeight="1" spans="1:2">
      <c r="A231" s="17"/>
      <c r="B231" s="17"/>
    </row>
    <row r="232" customHeight="1" spans="1:2">
      <c r="A232" s="17"/>
      <c r="B232" s="17"/>
    </row>
    <row r="233" customHeight="1" spans="1:2">
      <c r="A233" s="17"/>
      <c r="B233" s="17"/>
    </row>
    <row r="234" customHeight="1" spans="1:2">
      <c r="A234" s="17"/>
      <c r="B234" s="17"/>
    </row>
    <row r="235" customHeight="1" spans="1:2">
      <c r="A235" s="17"/>
      <c r="B235" s="17"/>
    </row>
    <row r="236" customHeight="1" spans="1:2">
      <c r="A236" s="17"/>
      <c r="B236" s="17"/>
    </row>
    <row r="237" customHeight="1" spans="1:2">
      <c r="A237" s="17"/>
      <c r="B237" s="17"/>
    </row>
    <row r="238" customHeight="1" spans="1:2">
      <c r="A238" s="17"/>
      <c r="B238" s="17"/>
    </row>
    <row r="239" customHeight="1" spans="1:2">
      <c r="A239" s="17"/>
      <c r="B239" s="17"/>
    </row>
    <row r="240" customHeight="1" spans="1:2">
      <c r="A240" s="17"/>
      <c r="B240" s="17"/>
    </row>
    <row r="241" customHeight="1" spans="1:2">
      <c r="A241" s="17"/>
      <c r="B241" s="17"/>
    </row>
    <row r="242" customHeight="1" spans="1:2">
      <c r="A242" s="17"/>
      <c r="B242" s="17"/>
    </row>
    <row r="243" customHeight="1" spans="1:2">
      <c r="A243" s="17"/>
      <c r="B243" s="17"/>
    </row>
    <row r="244" customHeight="1" spans="1:2">
      <c r="A244" s="17"/>
      <c r="B244" s="17"/>
    </row>
    <row r="245" customHeight="1" spans="1:2">
      <c r="A245" s="17"/>
      <c r="B245" s="17"/>
    </row>
    <row r="246" customHeight="1" spans="1:2">
      <c r="A246" s="17"/>
      <c r="B246" s="17"/>
    </row>
    <row r="247" customHeight="1" spans="1:2">
      <c r="A247" s="17"/>
      <c r="B247" s="17"/>
    </row>
    <row r="248" customHeight="1" spans="1:2">
      <c r="A248" s="17"/>
      <c r="B248" s="17"/>
    </row>
    <row r="249" customHeight="1" spans="1:2">
      <c r="A249" s="17"/>
      <c r="B249" s="17"/>
    </row>
    <row r="250" customHeight="1" spans="1:2">
      <c r="A250" s="17"/>
      <c r="B250" s="17"/>
    </row>
    <row r="251" customHeight="1" spans="1:2">
      <c r="A251" s="17"/>
      <c r="B251" s="17"/>
    </row>
    <row r="252" customHeight="1" spans="1:2">
      <c r="A252" s="17"/>
      <c r="B252" s="17"/>
    </row>
    <row r="253" customHeight="1" spans="1:2">
      <c r="A253" s="17"/>
      <c r="B253" s="17"/>
    </row>
    <row r="254" customHeight="1" spans="1:2">
      <c r="A254" s="17"/>
      <c r="B254" s="17"/>
    </row>
    <row r="255" customHeight="1" spans="1:2">
      <c r="A255" s="17"/>
      <c r="B255" s="17"/>
    </row>
    <row r="256" customHeight="1" spans="1:2">
      <c r="A256" s="17"/>
      <c r="B256" s="17"/>
    </row>
    <row r="257" customHeight="1" spans="1:2">
      <c r="A257" s="17"/>
      <c r="B257" s="17"/>
    </row>
    <row r="258" customHeight="1" spans="1:2">
      <c r="A258" s="17"/>
      <c r="B258" s="17"/>
    </row>
    <row r="259" customHeight="1" spans="1:2">
      <c r="A259" s="17"/>
      <c r="B259" s="17"/>
    </row>
    <row r="260" customHeight="1" spans="1:2">
      <c r="A260" s="17"/>
      <c r="B260" s="17"/>
    </row>
    <row r="261" customHeight="1" spans="1:2">
      <c r="A261" s="17"/>
      <c r="B261" s="17"/>
    </row>
    <row r="262" customHeight="1" spans="1:2">
      <c r="A262" s="17"/>
      <c r="B262" s="17"/>
    </row>
    <row r="263" customHeight="1" spans="1:2">
      <c r="A263" s="17"/>
      <c r="B263" s="17"/>
    </row>
    <row r="264" customHeight="1" spans="1:2">
      <c r="A264" s="17"/>
      <c r="B264" s="17"/>
    </row>
    <row r="265" customHeight="1" spans="1:2">
      <c r="A265" s="17"/>
      <c r="B265" s="17"/>
    </row>
    <row r="266" customHeight="1" spans="1:2">
      <c r="A266" s="17"/>
      <c r="B266" s="17"/>
    </row>
    <row r="267" customHeight="1" spans="1:2">
      <c r="A267" s="17"/>
      <c r="B267" s="17"/>
    </row>
    <row r="268" customHeight="1" spans="1:2">
      <c r="A268" s="17"/>
      <c r="B268" s="17"/>
    </row>
    <row r="269" customHeight="1" spans="1:2">
      <c r="A269" s="17"/>
      <c r="B269" s="17"/>
    </row>
    <row r="270" customHeight="1" spans="1:2">
      <c r="A270" s="17"/>
      <c r="B270" s="17"/>
    </row>
    <row r="271" customHeight="1" spans="1:2">
      <c r="A271" s="17"/>
      <c r="B271" s="17"/>
    </row>
    <row r="272" customHeight="1" spans="1:2">
      <c r="A272" s="17"/>
      <c r="B272" s="17"/>
    </row>
    <row r="273" customHeight="1" spans="1:2">
      <c r="A273" s="17"/>
      <c r="B273" s="17"/>
    </row>
    <row r="274" customHeight="1" spans="1:2">
      <c r="A274" s="17"/>
      <c r="B274" s="17"/>
    </row>
    <row r="275" customHeight="1" spans="1:2">
      <c r="A275" s="17"/>
      <c r="B275" s="17"/>
    </row>
    <row r="276" customHeight="1" spans="1:2">
      <c r="A276" s="17"/>
      <c r="B276" s="17"/>
    </row>
    <row r="277" customHeight="1" spans="1:2">
      <c r="A277" s="17"/>
      <c r="B277" s="17"/>
    </row>
    <row r="278" customHeight="1" spans="1:2">
      <c r="A278" s="17"/>
      <c r="B278" s="17"/>
    </row>
    <row r="279" customHeight="1" spans="1:2">
      <c r="A279" s="17"/>
      <c r="B279" s="17"/>
    </row>
    <row r="280" customHeight="1" spans="1:2">
      <c r="A280" s="17"/>
      <c r="B280" s="17"/>
    </row>
    <row r="281" customHeight="1" spans="1:2">
      <c r="A281" s="17"/>
      <c r="B281" s="17"/>
    </row>
    <row r="282" customHeight="1" spans="1:2">
      <c r="A282" s="17"/>
      <c r="B282" s="17"/>
    </row>
    <row r="283" customHeight="1" spans="1:2">
      <c r="A283" s="17"/>
      <c r="B283" s="17"/>
    </row>
    <row r="284" customHeight="1" spans="1:2">
      <c r="A284" s="17"/>
      <c r="B284" s="17"/>
    </row>
    <row r="285" customHeight="1" spans="1:2">
      <c r="A285" s="17"/>
      <c r="B285" s="17"/>
    </row>
    <row r="286" customHeight="1" spans="1:2">
      <c r="A286" s="17"/>
      <c r="B286" s="17"/>
    </row>
    <row r="287" customHeight="1" spans="1:2">
      <c r="A287" s="17"/>
      <c r="B287" s="17"/>
    </row>
    <row r="288" customHeight="1" spans="1:2">
      <c r="A288" s="17"/>
      <c r="B288" s="17"/>
    </row>
    <row r="289" customHeight="1" spans="1:2">
      <c r="A289" s="17"/>
      <c r="B289" s="17"/>
    </row>
    <row r="290" customHeight="1" spans="1:2">
      <c r="A290" s="17"/>
      <c r="B290" s="17"/>
    </row>
    <row r="291" customHeight="1" spans="1:2">
      <c r="A291" s="17"/>
      <c r="B291" s="17"/>
    </row>
    <row r="292" customHeight="1" spans="1:2">
      <c r="A292" s="17"/>
      <c r="B292" s="17"/>
    </row>
    <row r="293" customHeight="1" spans="1:2">
      <c r="A293" s="17"/>
      <c r="B293" s="17"/>
    </row>
    <row r="294" customHeight="1" spans="1:2">
      <c r="A294" s="17"/>
      <c r="B294" s="17"/>
    </row>
    <row r="295" customHeight="1" spans="1:2">
      <c r="A295" s="17"/>
      <c r="B295" s="17"/>
    </row>
    <row r="296" customHeight="1" spans="1:2">
      <c r="A296" s="17"/>
      <c r="B296" s="17"/>
    </row>
    <row r="297" customHeight="1" spans="1:2">
      <c r="A297" s="17"/>
      <c r="B297" s="17"/>
    </row>
    <row r="298" customHeight="1" spans="1:2">
      <c r="A298" s="17"/>
      <c r="B298" s="17"/>
    </row>
    <row r="299" customHeight="1" spans="1:2">
      <c r="A299" s="17"/>
      <c r="B299" s="17"/>
    </row>
    <row r="300" customHeight="1" spans="1:2">
      <c r="A300" s="17"/>
      <c r="B300" s="17"/>
    </row>
    <row r="301" customHeight="1" spans="1:2">
      <c r="A301" s="17"/>
      <c r="B301" s="17"/>
    </row>
    <row r="302" customHeight="1" spans="1:2">
      <c r="A302" s="17"/>
      <c r="B302" s="17"/>
    </row>
    <row r="303" customHeight="1" spans="1:2">
      <c r="A303" s="17"/>
      <c r="B303" s="17"/>
    </row>
    <row r="304" customHeight="1" spans="1:2">
      <c r="A304" s="17"/>
      <c r="B304" s="17"/>
    </row>
    <row r="305" customHeight="1" spans="1:2">
      <c r="A305" s="17"/>
      <c r="B305" s="17"/>
    </row>
    <row r="306" customHeight="1" spans="1:2">
      <c r="A306" s="17"/>
      <c r="B306" s="17"/>
    </row>
    <row r="307" customHeight="1" spans="1:2">
      <c r="A307" s="17"/>
      <c r="B307" s="17"/>
    </row>
    <row r="308" customHeight="1" spans="1:2">
      <c r="A308" s="17"/>
      <c r="B308" s="17"/>
    </row>
    <row r="309" customHeight="1" spans="1:2">
      <c r="A309" s="17"/>
      <c r="B309" s="17"/>
    </row>
    <row r="310" customHeight="1" spans="1:2">
      <c r="A310" s="17"/>
      <c r="B310" s="17"/>
    </row>
    <row r="311" customHeight="1" spans="1:2">
      <c r="A311" s="17"/>
      <c r="B311" s="17"/>
    </row>
    <row r="312" customHeight="1" spans="1:2">
      <c r="A312" s="17"/>
      <c r="B312" s="17"/>
    </row>
    <row r="313" customHeight="1" spans="1:2">
      <c r="A313" s="17"/>
      <c r="B313" s="17"/>
    </row>
    <row r="314" customHeight="1" spans="1:2">
      <c r="A314" s="17"/>
      <c r="B314" s="17"/>
    </row>
    <row r="315" customHeight="1" spans="1:2">
      <c r="A315" s="17"/>
      <c r="B315" s="17"/>
    </row>
    <row r="316" customHeight="1" spans="1:2">
      <c r="A316" s="17"/>
      <c r="B316" s="17"/>
    </row>
    <row r="317" customHeight="1" spans="1:2">
      <c r="A317" s="17"/>
      <c r="B317" s="17"/>
    </row>
    <row r="318" customHeight="1" spans="1:2">
      <c r="A318" s="17"/>
      <c r="B318" s="17"/>
    </row>
    <row r="319" customHeight="1" spans="1:2">
      <c r="A319" s="17"/>
      <c r="B319" s="17"/>
    </row>
    <row r="320" customHeight="1" spans="1:2">
      <c r="A320" s="17"/>
      <c r="B320" s="17"/>
    </row>
    <row r="321" customHeight="1" spans="1:2">
      <c r="A321" s="17"/>
      <c r="B321" s="17"/>
    </row>
    <row r="322" customHeight="1" spans="1:2">
      <c r="A322" s="17"/>
      <c r="B322" s="17"/>
    </row>
    <row r="323" customHeight="1" spans="1:2">
      <c r="A323" s="17"/>
      <c r="B323" s="17"/>
    </row>
    <row r="324" customHeight="1" spans="1:2">
      <c r="A324" s="17"/>
      <c r="B324" s="17"/>
    </row>
    <row r="325" customHeight="1" spans="1:2">
      <c r="A325" s="17"/>
      <c r="B325" s="17"/>
    </row>
    <row r="326" customHeight="1" spans="1:2">
      <c r="A326" s="17"/>
      <c r="B326" s="17"/>
    </row>
    <row r="327" customHeight="1" spans="1:2">
      <c r="A327" s="17"/>
      <c r="B327" s="17"/>
    </row>
    <row r="328" customHeight="1" spans="1:2">
      <c r="A328" s="17"/>
      <c r="B328" s="17"/>
    </row>
    <row r="329" customHeight="1" spans="1:2">
      <c r="A329" s="17"/>
      <c r="B329" s="17"/>
    </row>
    <row r="330" customHeight="1" spans="1:2">
      <c r="A330" s="17"/>
      <c r="B330" s="17"/>
    </row>
    <row r="331" customHeight="1" spans="1:2">
      <c r="A331" s="17"/>
      <c r="B331" s="17"/>
    </row>
    <row r="332" customHeight="1" spans="1:2">
      <c r="A332" s="17"/>
      <c r="B332" s="17"/>
    </row>
    <row r="333" customHeight="1" spans="1:2">
      <c r="A333" s="17"/>
      <c r="B333" s="17"/>
    </row>
    <row r="334" customHeight="1" spans="1:2">
      <c r="A334" s="17"/>
      <c r="B334" s="17"/>
    </row>
    <row r="335" customHeight="1" spans="1:2">
      <c r="A335" s="17"/>
      <c r="B335" s="17"/>
    </row>
    <row r="336" customHeight="1" spans="1:2">
      <c r="A336" s="17"/>
      <c r="B336" s="17"/>
    </row>
    <row r="337" customHeight="1" spans="1:2">
      <c r="A337" s="17"/>
      <c r="B337" s="17"/>
    </row>
    <row r="338" customHeight="1" spans="1:2">
      <c r="A338" s="17"/>
      <c r="B338" s="17"/>
    </row>
    <row r="339" customHeight="1" spans="1:2">
      <c r="A339" s="17"/>
      <c r="B339" s="17"/>
    </row>
    <row r="340" customHeight="1" spans="1:2">
      <c r="A340" s="17"/>
      <c r="B340" s="17"/>
    </row>
    <row r="341" customHeight="1" spans="1:2">
      <c r="A341" s="17"/>
      <c r="B341" s="17"/>
    </row>
    <row r="342" customHeight="1" spans="1:2">
      <c r="A342" s="17"/>
      <c r="B342" s="17"/>
    </row>
    <row r="343" customHeight="1" spans="1:2">
      <c r="A343" s="17"/>
      <c r="B343" s="17"/>
    </row>
    <row r="344" customHeight="1" spans="1:2">
      <c r="A344" s="17"/>
      <c r="B344" s="17"/>
    </row>
    <row r="345" customHeight="1" spans="1:2">
      <c r="A345" s="17"/>
      <c r="B345" s="17"/>
    </row>
    <row r="346" customHeight="1" spans="1:2">
      <c r="A346" s="17"/>
      <c r="B346" s="17"/>
    </row>
    <row r="347" customHeight="1" spans="1:2">
      <c r="A347" s="17"/>
      <c r="B347" s="17"/>
    </row>
    <row r="348" customHeight="1" spans="1:2">
      <c r="A348" s="17"/>
      <c r="B348" s="17"/>
    </row>
    <row r="349" customHeight="1" spans="1:2">
      <c r="A349" s="17"/>
      <c r="B349" s="17"/>
    </row>
    <row r="350" customHeight="1" spans="1:2">
      <c r="A350" s="17"/>
      <c r="B350" s="17"/>
    </row>
    <row r="351" customHeight="1" spans="1:2">
      <c r="A351" s="17"/>
      <c r="B351" s="17"/>
    </row>
    <row r="352" customHeight="1" spans="1:2">
      <c r="A352" s="17"/>
      <c r="B352" s="17"/>
    </row>
    <row r="353" customHeight="1" spans="1:2">
      <c r="A353" s="17"/>
      <c r="B353" s="17"/>
    </row>
    <row r="354" customHeight="1" spans="1:2">
      <c r="A354" s="17"/>
      <c r="B354" s="17"/>
    </row>
    <row r="355" customHeight="1" spans="1:2">
      <c r="A355" s="17"/>
      <c r="B355" s="17"/>
    </row>
    <row r="356" customHeight="1" spans="1:2">
      <c r="A356" s="17"/>
      <c r="B356" s="17"/>
    </row>
    <row r="357" customHeight="1" spans="1:2">
      <c r="A357" s="17"/>
      <c r="B357" s="17"/>
    </row>
    <row r="358" customHeight="1" spans="1:2">
      <c r="A358" s="17"/>
      <c r="B358" s="17"/>
    </row>
    <row r="359" customHeight="1" spans="1:2">
      <c r="A359" s="17"/>
      <c r="B359" s="17"/>
    </row>
    <row r="360" customHeight="1" spans="1:2">
      <c r="A360" s="17"/>
      <c r="B360" s="17"/>
    </row>
    <row r="361" customHeight="1" spans="1:2">
      <c r="A361" s="17"/>
      <c r="B361" s="17"/>
    </row>
    <row r="362" customHeight="1" spans="1:2">
      <c r="A362" s="17"/>
      <c r="B362" s="17"/>
    </row>
    <row r="363" customHeight="1" spans="1:2">
      <c r="A363" s="17"/>
      <c r="B363" s="17"/>
    </row>
    <row r="364" customHeight="1" spans="1:2">
      <c r="A364" s="17"/>
      <c r="B364" s="17"/>
    </row>
    <row r="365" customHeight="1" spans="1:2">
      <c r="A365" s="17"/>
      <c r="B365" s="17"/>
    </row>
    <row r="366" customHeight="1" spans="1:2">
      <c r="A366" s="17"/>
      <c r="B366" s="17"/>
    </row>
    <row r="367" customHeight="1" spans="1:2">
      <c r="A367" s="17"/>
      <c r="B367" s="17"/>
    </row>
    <row r="368" customHeight="1" spans="1:2">
      <c r="A368" s="17"/>
      <c r="B368" s="17"/>
    </row>
    <row r="369" customHeight="1" spans="1:2">
      <c r="A369" s="17"/>
      <c r="B369" s="17"/>
    </row>
    <row r="370" customHeight="1" spans="1:2">
      <c r="A370" s="17"/>
      <c r="B370" s="17"/>
    </row>
    <row r="371" customHeight="1" spans="1:2">
      <c r="A371" s="17"/>
      <c r="B371" s="17"/>
    </row>
    <row r="372" customHeight="1" spans="1:2">
      <c r="A372" s="17"/>
      <c r="B372" s="17"/>
    </row>
    <row r="373" customHeight="1" spans="1:2">
      <c r="A373" s="17"/>
      <c r="B373" s="17"/>
    </row>
    <row r="374" customHeight="1" spans="1:2">
      <c r="A374" s="17"/>
      <c r="B374" s="17"/>
    </row>
    <row r="375" customHeight="1" spans="1:2">
      <c r="A375" s="17"/>
      <c r="B375" s="17"/>
    </row>
    <row r="376" customHeight="1" spans="1:2">
      <c r="A376" s="17"/>
      <c r="B376" s="17"/>
    </row>
    <row r="377" customHeight="1" spans="1:2">
      <c r="A377" s="17"/>
      <c r="B377" s="17"/>
    </row>
    <row r="378" customHeight="1" spans="1:2">
      <c r="A378" s="17"/>
      <c r="B378" s="17"/>
    </row>
    <row r="379" customHeight="1" spans="1:2">
      <c r="A379" s="17"/>
      <c r="B379" s="17"/>
    </row>
    <row r="380" customHeight="1" spans="1:2">
      <c r="A380" s="17"/>
      <c r="B380" s="17"/>
    </row>
    <row r="381" customHeight="1" spans="1:2">
      <c r="A381" s="17"/>
      <c r="B381" s="17"/>
    </row>
    <row r="382" customHeight="1" spans="1:2">
      <c r="A382" s="17"/>
      <c r="B382" s="17"/>
    </row>
    <row r="383" customHeight="1" spans="1:2">
      <c r="A383" s="17"/>
      <c r="B383" s="17"/>
    </row>
    <row r="384" customHeight="1" spans="1:2">
      <c r="A384" s="17"/>
      <c r="B384" s="17"/>
    </row>
    <row r="385" customHeight="1" spans="1:2">
      <c r="A385" s="17"/>
      <c r="B385" s="17"/>
    </row>
    <row r="386" customHeight="1" spans="1:2">
      <c r="A386" s="17"/>
      <c r="B386" s="17"/>
    </row>
    <row r="387" customHeight="1" spans="1:2">
      <c r="A387" s="17"/>
      <c r="B387" s="17"/>
    </row>
    <row r="388" customHeight="1" spans="1:2">
      <c r="A388" s="17"/>
      <c r="B388" s="17"/>
    </row>
    <row r="389" customHeight="1" spans="1:2">
      <c r="A389" s="17"/>
      <c r="B389" s="17"/>
    </row>
    <row r="390" customHeight="1" spans="1:2">
      <c r="A390" s="17"/>
      <c r="B390" s="17"/>
    </row>
    <row r="391" customHeight="1" spans="1:2">
      <c r="A391" s="17"/>
      <c r="B391" s="17"/>
    </row>
    <row r="392" customHeight="1" spans="1:2">
      <c r="A392" s="17"/>
      <c r="B392" s="17"/>
    </row>
    <row r="393" customHeight="1" spans="1:2">
      <c r="A393" s="17"/>
      <c r="B393" s="17"/>
    </row>
    <row r="394" customHeight="1" spans="1:2">
      <c r="A394" s="17"/>
      <c r="B394" s="17"/>
    </row>
    <row r="395" customHeight="1" spans="1:2">
      <c r="A395" s="17"/>
      <c r="B395" s="17"/>
    </row>
    <row r="396" customHeight="1" spans="1:2">
      <c r="A396" s="17"/>
      <c r="B396" s="17"/>
    </row>
    <row r="397" customHeight="1" spans="1:2">
      <c r="A397" s="17"/>
      <c r="B397" s="17"/>
    </row>
    <row r="398" customHeight="1" spans="1:2">
      <c r="A398" s="17"/>
      <c r="B398" s="17"/>
    </row>
    <row r="399" customHeight="1" spans="1:2">
      <c r="A399" s="17"/>
      <c r="B399" s="17"/>
    </row>
    <row r="400" customHeight="1" spans="1:2">
      <c r="A400" s="17"/>
      <c r="B400" s="17"/>
    </row>
    <row r="401" customHeight="1" spans="1:2">
      <c r="A401" s="17"/>
      <c r="B401" s="17"/>
    </row>
    <row r="402" customHeight="1" spans="1:2">
      <c r="A402" s="17"/>
      <c r="B402" s="17"/>
    </row>
    <row r="403" customHeight="1" spans="1:2">
      <c r="A403" s="17"/>
      <c r="B403" s="17"/>
    </row>
    <row r="404" customHeight="1" spans="1:2">
      <c r="A404" s="17"/>
      <c r="B404" s="17"/>
    </row>
    <row r="405" customHeight="1" spans="1:2">
      <c r="A405" s="17"/>
      <c r="B405" s="17"/>
    </row>
    <row r="406" customHeight="1" spans="1:2">
      <c r="A406" s="17"/>
      <c r="B406" s="17"/>
    </row>
    <row r="407" customHeight="1" spans="1:2">
      <c r="A407" s="17"/>
      <c r="B407" s="17"/>
    </row>
    <row r="408" customHeight="1" spans="1:2">
      <c r="A408" s="17"/>
      <c r="B408" s="17"/>
    </row>
    <row r="409" customHeight="1" spans="1:2">
      <c r="A409" s="17"/>
      <c r="B409" s="17"/>
    </row>
    <row r="410" customHeight="1" spans="1:2">
      <c r="A410" s="17"/>
      <c r="B410" s="17"/>
    </row>
    <row r="411" customHeight="1" spans="1:2">
      <c r="A411" s="17"/>
      <c r="B411" s="17"/>
    </row>
    <row r="412" customHeight="1" spans="1:2">
      <c r="A412" s="17"/>
      <c r="B412" s="17"/>
    </row>
    <row r="413" customHeight="1" spans="1:2">
      <c r="A413" s="17"/>
      <c r="B413" s="17"/>
    </row>
    <row r="414" customHeight="1" spans="1:2">
      <c r="A414" s="17"/>
      <c r="B414" s="17"/>
    </row>
    <row r="415" customHeight="1" spans="1:2">
      <c r="A415" s="17"/>
      <c r="B415" s="17"/>
    </row>
    <row r="416" customHeight="1" spans="1:2">
      <c r="A416" s="17"/>
      <c r="B416" s="17"/>
    </row>
    <row r="417" customHeight="1" spans="1:2">
      <c r="A417" s="17"/>
      <c r="B417" s="17"/>
    </row>
    <row r="418" customHeight="1" spans="1:2">
      <c r="A418" s="17"/>
      <c r="B418" s="17"/>
    </row>
    <row r="419" customHeight="1" spans="1:2">
      <c r="A419" s="17"/>
      <c r="B419" s="17"/>
    </row>
    <row r="420" customHeight="1" spans="1:2">
      <c r="A420" s="17"/>
      <c r="B420" s="17"/>
    </row>
    <row r="421" customHeight="1" spans="1:2">
      <c r="A421" s="17"/>
      <c r="B421" s="17"/>
    </row>
    <row r="422" customHeight="1" spans="1:2">
      <c r="A422" s="17"/>
      <c r="B422" s="17"/>
    </row>
    <row r="423" customHeight="1" spans="1:2">
      <c r="A423" s="17"/>
      <c r="B423" s="17"/>
    </row>
    <row r="424" customHeight="1" spans="1:2">
      <c r="A424" s="17"/>
      <c r="B424" s="17"/>
    </row>
    <row r="425" customHeight="1" spans="1:2">
      <c r="A425" s="17"/>
      <c r="B425" s="17"/>
    </row>
    <row r="426" customHeight="1" spans="1:2">
      <c r="A426" s="17"/>
      <c r="B426" s="17"/>
    </row>
    <row r="427" customHeight="1" spans="1:2">
      <c r="A427" s="17"/>
      <c r="B427" s="17"/>
    </row>
    <row r="428" customHeight="1" spans="1:2">
      <c r="A428" s="17"/>
      <c r="B428" s="17"/>
    </row>
    <row r="429" customHeight="1" spans="1:2">
      <c r="A429" s="17"/>
      <c r="B429" s="17"/>
    </row>
    <row r="430" customHeight="1" spans="1:2">
      <c r="A430" s="17"/>
      <c r="B430" s="17"/>
    </row>
    <row r="431" customHeight="1" spans="1:2">
      <c r="A431" s="17"/>
      <c r="B431" s="17"/>
    </row>
    <row r="432" customHeight="1" spans="1:2">
      <c r="A432" s="17"/>
      <c r="B432" s="17"/>
    </row>
    <row r="433" customHeight="1" spans="1:2">
      <c r="A433" s="17"/>
      <c r="B433" s="17"/>
    </row>
    <row r="434" customHeight="1" spans="1:2">
      <c r="A434" s="17"/>
      <c r="B434" s="17"/>
    </row>
    <row r="435" customHeight="1" spans="1:2">
      <c r="A435" s="17"/>
      <c r="B435" s="17"/>
    </row>
    <row r="436" customHeight="1" spans="1:2">
      <c r="A436" s="17"/>
      <c r="B436" s="17"/>
    </row>
    <row r="437" customHeight="1" spans="1:2">
      <c r="A437" s="17"/>
      <c r="B437" s="17"/>
    </row>
    <row r="438" customHeight="1" spans="1:2">
      <c r="A438" s="17"/>
      <c r="B438" s="17"/>
    </row>
    <row r="439" customHeight="1" spans="1:2">
      <c r="A439" s="17"/>
      <c r="B439" s="17"/>
    </row>
    <row r="440" customHeight="1" spans="1:2">
      <c r="A440" s="17"/>
      <c r="B440" s="17"/>
    </row>
    <row r="441" customHeight="1" spans="1:2">
      <c r="A441" s="17"/>
      <c r="B441" s="17"/>
    </row>
    <row r="442" customHeight="1" spans="1:2">
      <c r="A442" s="17"/>
      <c r="B442" s="17"/>
    </row>
    <row r="443" customHeight="1" spans="1:2">
      <c r="A443" s="17"/>
      <c r="B443" s="17"/>
    </row>
    <row r="444" customHeight="1" spans="1:2">
      <c r="A444" s="17"/>
      <c r="B444" s="17"/>
    </row>
    <row r="445" customHeight="1" spans="1:2">
      <c r="A445" s="17"/>
      <c r="B445" s="17"/>
    </row>
    <row r="446" customHeight="1" spans="1:2">
      <c r="A446" s="17"/>
      <c r="B446" s="17"/>
    </row>
    <row r="447" customHeight="1" spans="1:2">
      <c r="A447" s="17"/>
      <c r="B447" s="17"/>
    </row>
    <row r="448" customHeight="1" spans="1:2">
      <c r="A448" s="17"/>
      <c r="B448" s="17"/>
    </row>
    <row r="449" customHeight="1" spans="1:2">
      <c r="A449" s="17"/>
      <c r="B449" s="17"/>
    </row>
    <row r="450" customHeight="1" spans="1:2">
      <c r="A450" s="17"/>
      <c r="B450" s="17"/>
    </row>
    <row r="451" customHeight="1" spans="1:2">
      <c r="A451" s="17"/>
      <c r="B451" s="17"/>
    </row>
    <row r="452" customHeight="1" spans="1:2">
      <c r="A452" s="17"/>
      <c r="B452" s="17"/>
    </row>
    <row r="453" customHeight="1" spans="1:2">
      <c r="A453" s="17"/>
      <c r="B453" s="17"/>
    </row>
    <row r="454" customHeight="1" spans="1:2">
      <c r="A454" s="17"/>
      <c r="B454" s="17"/>
    </row>
    <row r="455" customHeight="1" spans="1:2">
      <c r="A455" s="17"/>
      <c r="B455" s="17"/>
    </row>
    <row r="456" customHeight="1" spans="1:2">
      <c r="A456" s="17"/>
      <c r="B456" s="17"/>
    </row>
    <row r="457" customHeight="1" spans="1:2">
      <c r="A457" s="17"/>
      <c r="B457" s="17"/>
    </row>
    <row r="458" customHeight="1" spans="1:2">
      <c r="A458" s="17"/>
      <c r="B458" s="17"/>
    </row>
    <row r="459" customHeight="1" spans="1:2">
      <c r="A459" s="17"/>
      <c r="B459" s="17"/>
    </row>
    <row r="460" customHeight="1" spans="1:2">
      <c r="A460" s="17"/>
      <c r="B460" s="17"/>
    </row>
    <row r="461" customHeight="1" spans="1:2">
      <c r="A461" s="17"/>
      <c r="B461" s="17"/>
    </row>
    <row r="462" customHeight="1" spans="1:2">
      <c r="A462" s="17"/>
      <c r="B462" s="17"/>
    </row>
    <row r="463" customHeight="1" spans="1:2">
      <c r="A463" s="17"/>
      <c r="B463" s="17"/>
    </row>
    <row r="464" customHeight="1" spans="1:2">
      <c r="A464" s="17"/>
      <c r="B464" s="17"/>
    </row>
    <row r="465" customHeight="1" spans="1:2">
      <c r="A465" s="17"/>
      <c r="B465" s="17"/>
    </row>
    <row r="466" customHeight="1" spans="1:2">
      <c r="A466" s="17"/>
      <c r="B466" s="17"/>
    </row>
    <row r="467" customHeight="1" spans="1:2">
      <c r="A467" s="17"/>
      <c r="B467" s="17"/>
    </row>
    <row r="468" customHeight="1" spans="1:2">
      <c r="A468" s="17"/>
      <c r="B468" s="17"/>
    </row>
    <row r="469" customHeight="1" spans="1:2">
      <c r="A469" s="17"/>
      <c r="B469" s="17"/>
    </row>
    <row r="470" customHeight="1" spans="1:2">
      <c r="A470" s="17"/>
      <c r="B470" s="17"/>
    </row>
    <row r="471" customHeight="1" spans="1:2">
      <c r="A471" s="17"/>
      <c r="B471" s="17"/>
    </row>
    <row r="472" customHeight="1" spans="1:2">
      <c r="A472" s="17"/>
      <c r="B472" s="17"/>
    </row>
    <row r="473" customHeight="1" spans="1:2">
      <c r="A473" s="17"/>
      <c r="B473" s="17"/>
    </row>
    <row r="474" customHeight="1" spans="1:2">
      <c r="A474" s="17"/>
      <c r="B474" s="17"/>
    </row>
    <row r="475" customHeight="1" spans="1:2">
      <c r="A475" s="17"/>
      <c r="B475" s="17"/>
    </row>
    <row r="476" customHeight="1" spans="1:2">
      <c r="A476" s="17"/>
      <c r="B476" s="17"/>
    </row>
    <row r="477" customHeight="1" spans="1:2">
      <c r="A477" s="17"/>
      <c r="B477" s="17"/>
    </row>
    <row r="478" customHeight="1" spans="1:2">
      <c r="A478" s="17"/>
      <c r="B478" s="17"/>
    </row>
    <row r="479" customHeight="1" spans="1:2">
      <c r="A479" s="17"/>
      <c r="B479" s="17"/>
    </row>
    <row r="480" customHeight="1" spans="1:2">
      <c r="A480" s="17"/>
      <c r="B480" s="17"/>
    </row>
    <row r="481" customHeight="1" spans="1:2">
      <c r="A481" s="17"/>
      <c r="B481" s="17"/>
    </row>
    <row r="482" customHeight="1" spans="1:2">
      <c r="A482" s="17"/>
      <c r="B482" s="17"/>
    </row>
    <row r="483" customHeight="1" spans="1:2">
      <c r="A483" s="17"/>
      <c r="B483" s="17"/>
    </row>
    <row r="484" customHeight="1" spans="1:2">
      <c r="A484" s="17"/>
      <c r="B484" s="17"/>
    </row>
    <row r="485" customHeight="1" spans="1:2">
      <c r="A485" s="17"/>
      <c r="B485" s="17"/>
    </row>
    <row r="486" customHeight="1" spans="1:2">
      <c r="A486" s="17"/>
      <c r="B486" s="17"/>
    </row>
    <row r="487" customHeight="1" spans="1:2">
      <c r="A487" s="17"/>
      <c r="B487" s="17"/>
    </row>
    <row r="488" customHeight="1" spans="1:2">
      <c r="A488" s="17"/>
      <c r="B488" s="17"/>
    </row>
    <row r="489" customHeight="1" spans="1:2">
      <c r="A489" s="17"/>
      <c r="B489" s="17"/>
    </row>
    <row r="490" customHeight="1" spans="1:2">
      <c r="A490" s="17"/>
      <c r="B490" s="17"/>
    </row>
    <row r="491" customHeight="1" spans="1:2">
      <c r="A491" s="17"/>
      <c r="B491" s="17"/>
    </row>
    <row r="492" customHeight="1" spans="1:2">
      <c r="A492" s="17"/>
      <c r="B492" s="17"/>
    </row>
    <row r="493" customHeight="1" spans="1:2">
      <c r="A493" s="17"/>
      <c r="B493" s="17"/>
    </row>
    <row r="494" customHeight="1" spans="1:2">
      <c r="A494" s="17"/>
      <c r="B494" s="17"/>
    </row>
    <row r="495" customHeight="1" spans="1:2">
      <c r="A495" s="17"/>
      <c r="B495" s="17"/>
    </row>
    <row r="496" customHeight="1" spans="1:2">
      <c r="A496" s="17"/>
      <c r="B496" s="17"/>
    </row>
    <row r="497" customHeight="1" spans="1:2">
      <c r="A497" s="17"/>
      <c r="B497" s="17"/>
    </row>
    <row r="498" customHeight="1" spans="1:2">
      <c r="A498" s="17"/>
      <c r="B498" s="17"/>
    </row>
    <row r="499" customHeight="1" spans="1:2">
      <c r="A499" s="17"/>
      <c r="B499" s="17"/>
    </row>
    <row r="500" customHeight="1" spans="1:2">
      <c r="A500" s="17"/>
      <c r="B500" s="17"/>
    </row>
    <row r="501" customHeight="1" spans="1:2">
      <c r="A501" s="17"/>
      <c r="B501" s="17"/>
    </row>
    <row r="502" customHeight="1" spans="1:2">
      <c r="A502" s="17"/>
      <c r="B502" s="17"/>
    </row>
    <row r="503" customHeight="1" spans="1:2">
      <c r="A503" s="17"/>
      <c r="B503" s="17"/>
    </row>
    <row r="504" customHeight="1" spans="1:2">
      <c r="A504" s="17"/>
      <c r="B504" s="17"/>
    </row>
    <row r="505" customHeight="1" spans="1:2">
      <c r="A505" s="17"/>
      <c r="B505" s="17"/>
    </row>
    <row r="506" customHeight="1" spans="1:2">
      <c r="A506" s="17"/>
      <c r="B506" s="17"/>
    </row>
    <row r="507" customHeight="1" spans="1:2">
      <c r="A507" s="17"/>
      <c r="B507" s="17"/>
    </row>
    <row r="508" customHeight="1" spans="1:2">
      <c r="A508" s="17"/>
      <c r="B508" s="17"/>
    </row>
    <row r="509" customHeight="1" spans="1:2">
      <c r="A509" s="17"/>
      <c r="B509" s="17"/>
    </row>
    <row r="510" customHeight="1" spans="1:2">
      <c r="A510" s="17"/>
      <c r="B510" s="17"/>
    </row>
    <row r="511" customHeight="1" spans="1:2">
      <c r="A511" s="17"/>
      <c r="B511" s="17"/>
    </row>
    <row r="512" customHeight="1" spans="1:2">
      <c r="A512" s="17"/>
      <c r="B512" s="17"/>
    </row>
    <row r="513" customHeight="1" spans="1:2">
      <c r="A513" s="17"/>
      <c r="B513" s="17"/>
    </row>
    <row r="514" customHeight="1" spans="1:2">
      <c r="A514" s="17"/>
      <c r="B514" s="17"/>
    </row>
    <row r="515" customHeight="1" spans="1:2">
      <c r="A515" s="17"/>
      <c r="B515" s="17"/>
    </row>
    <row r="516" customHeight="1" spans="1:2">
      <c r="A516" s="17"/>
      <c r="B516" s="17"/>
    </row>
    <row r="517" customHeight="1" spans="1:2">
      <c r="A517" s="17"/>
      <c r="B517" s="17"/>
    </row>
    <row r="518" customHeight="1" spans="1:2">
      <c r="A518" s="17"/>
      <c r="B518" s="17"/>
    </row>
    <row r="519" customHeight="1" spans="1:2">
      <c r="A519" s="17"/>
      <c r="B519" s="17"/>
    </row>
    <row r="520" customHeight="1" spans="1:2">
      <c r="A520" s="17"/>
      <c r="B520" s="17"/>
    </row>
    <row r="521" customHeight="1" spans="1:2">
      <c r="A521" s="17"/>
      <c r="B521" s="17"/>
    </row>
    <row r="522" customHeight="1" spans="1:2">
      <c r="A522" s="17"/>
      <c r="B522" s="17"/>
    </row>
    <row r="523" customHeight="1" spans="1:2">
      <c r="A523" s="17"/>
      <c r="B523" s="17"/>
    </row>
    <row r="524" customHeight="1" spans="1:2">
      <c r="A524" s="17"/>
      <c r="B524" s="17"/>
    </row>
    <row r="525" customHeight="1" spans="1:2">
      <c r="A525" s="17"/>
      <c r="B525" s="17"/>
    </row>
    <row r="526" customHeight="1" spans="1:2">
      <c r="A526" s="17"/>
      <c r="B526" s="17"/>
    </row>
    <row r="527" customHeight="1" spans="1:2">
      <c r="A527" s="17"/>
      <c r="B527" s="17"/>
    </row>
    <row r="528" customHeight="1" spans="1:2">
      <c r="A528" s="17"/>
      <c r="B528" s="17"/>
    </row>
    <row r="529" customHeight="1" spans="1:2">
      <c r="A529" s="17"/>
      <c r="B529" s="17"/>
    </row>
    <row r="530" customHeight="1" spans="1:2">
      <c r="A530" s="17"/>
      <c r="B530" s="17"/>
    </row>
    <row r="531" customHeight="1" spans="1:2">
      <c r="A531" s="17"/>
      <c r="B531" s="17"/>
    </row>
    <row r="532" customHeight="1" spans="1:2">
      <c r="A532" s="17"/>
      <c r="B532" s="17"/>
    </row>
    <row r="533" customHeight="1" spans="1:2">
      <c r="A533" s="17"/>
      <c r="B533" s="17"/>
    </row>
    <row r="534" customHeight="1" spans="1:2">
      <c r="A534" s="17"/>
      <c r="B534" s="17"/>
    </row>
    <row r="535" customHeight="1" spans="1:2">
      <c r="A535" s="17"/>
      <c r="B535" s="17"/>
    </row>
    <row r="536" customHeight="1" spans="1:2">
      <c r="A536" s="17"/>
      <c r="B536" s="17"/>
    </row>
    <row r="537" customHeight="1" spans="1:2">
      <c r="A537" s="17"/>
      <c r="B537" s="17"/>
    </row>
    <row r="538" customHeight="1" spans="1:2">
      <c r="A538" s="17"/>
      <c r="B538" s="17"/>
    </row>
    <row r="539" customHeight="1" spans="1:2">
      <c r="A539" s="17"/>
      <c r="B539" s="17"/>
    </row>
    <row r="540" customHeight="1" spans="1:2">
      <c r="A540" s="17"/>
      <c r="B540" s="17"/>
    </row>
    <row r="541" customHeight="1" spans="1:2">
      <c r="A541" s="17"/>
      <c r="B541" s="17"/>
    </row>
    <row r="542" customHeight="1" spans="1:2">
      <c r="A542" s="17"/>
      <c r="B542" s="17"/>
    </row>
    <row r="543" customHeight="1" spans="1:2">
      <c r="A543" s="17"/>
      <c r="B543" s="17"/>
    </row>
    <row r="544" customHeight="1" spans="1:2">
      <c r="A544" s="17"/>
      <c r="B544" s="17"/>
    </row>
    <row r="545" customHeight="1" spans="1:2">
      <c r="A545" s="17"/>
      <c r="B545" s="17"/>
    </row>
    <row r="546" customHeight="1" spans="1:2">
      <c r="A546" s="17"/>
      <c r="B546" s="17"/>
    </row>
    <row r="547" customHeight="1" spans="1:2">
      <c r="A547" s="17"/>
      <c r="B547" s="17"/>
    </row>
    <row r="548" customHeight="1" spans="1:2">
      <c r="A548" s="17"/>
      <c r="B548" s="17"/>
    </row>
    <row r="549" customHeight="1" spans="1:2">
      <c r="A549" s="17"/>
      <c r="B549" s="17"/>
    </row>
    <row r="550" customHeight="1" spans="1:2">
      <c r="A550" s="17"/>
      <c r="B550" s="17"/>
    </row>
    <row r="551" customHeight="1" spans="1:2">
      <c r="A551" s="17"/>
      <c r="B551" s="17"/>
    </row>
    <row r="552" customHeight="1" spans="1:2">
      <c r="A552" s="17"/>
      <c r="B552" s="17"/>
    </row>
    <row r="553" customHeight="1" spans="1:2">
      <c r="A553" s="17"/>
      <c r="B553" s="17"/>
    </row>
    <row r="554" customHeight="1" spans="1:2">
      <c r="A554" s="17"/>
      <c r="B554" s="17"/>
    </row>
    <row r="555" customHeight="1" spans="1:2">
      <c r="A555" s="17"/>
      <c r="B555" s="17"/>
    </row>
    <row r="556" customHeight="1" spans="1:2">
      <c r="A556" s="17"/>
      <c r="B556" s="17"/>
    </row>
    <row r="557" customHeight="1" spans="1:2">
      <c r="A557" s="17"/>
      <c r="B557" s="17"/>
    </row>
    <row r="558" customHeight="1" spans="1:2">
      <c r="A558" s="17"/>
      <c r="B558" s="17"/>
    </row>
    <row r="559" customHeight="1" spans="1:2">
      <c r="A559" s="17"/>
      <c r="B559" s="17"/>
    </row>
    <row r="560" customHeight="1" spans="1:2">
      <c r="A560" s="17"/>
      <c r="B560" s="17"/>
    </row>
    <row r="561" customHeight="1" spans="1:2">
      <c r="A561" s="17"/>
      <c r="B561" s="17"/>
    </row>
    <row r="562" customHeight="1" spans="1:2">
      <c r="A562" s="17"/>
      <c r="B562" s="17"/>
    </row>
    <row r="563" customHeight="1" spans="1:2">
      <c r="A563" s="17"/>
      <c r="B563" s="17"/>
    </row>
    <row r="564" customHeight="1" spans="1:2">
      <c r="A564" s="17"/>
      <c r="B564" s="17"/>
    </row>
    <row r="565" customHeight="1" spans="1:2">
      <c r="A565" s="17"/>
      <c r="B565" s="17"/>
    </row>
    <row r="566" customHeight="1" spans="1:2">
      <c r="A566" s="17"/>
      <c r="B566" s="17"/>
    </row>
    <row r="567" customHeight="1" spans="1:2">
      <c r="A567" s="17"/>
      <c r="B567" s="17"/>
    </row>
    <row r="568" customHeight="1" spans="1:2">
      <c r="A568" s="17"/>
      <c r="B568" s="17"/>
    </row>
    <row r="569" customHeight="1" spans="1:2">
      <c r="A569" s="17"/>
      <c r="B569" s="17"/>
    </row>
    <row r="570" customHeight="1" spans="1:2">
      <c r="A570" s="17"/>
      <c r="B570" s="17"/>
    </row>
    <row r="571" customHeight="1" spans="1:2">
      <c r="A571" s="17"/>
      <c r="B571" s="17"/>
    </row>
    <row r="572" customHeight="1" spans="1:2">
      <c r="A572" s="17"/>
      <c r="B572" s="17"/>
    </row>
    <row r="573" customHeight="1" spans="1:2">
      <c r="A573" s="17"/>
      <c r="B573" s="17"/>
    </row>
    <row r="574" customHeight="1" spans="1:2">
      <c r="A574" s="17"/>
      <c r="B574" s="17"/>
    </row>
    <row r="575" customHeight="1" spans="1:2">
      <c r="A575" s="17"/>
      <c r="B575" s="17"/>
    </row>
    <row r="576" customHeight="1" spans="1:2">
      <c r="A576" s="17"/>
      <c r="B576" s="17"/>
    </row>
    <row r="577" customHeight="1" spans="1:2">
      <c r="A577" s="17"/>
      <c r="B577" s="17"/>
    </row>
    <row r="578" customHeight="1" spans="1:2">
      <c r="A578" s="17"/>
      <c r="B578" s="17"/>
    </row>
    <row r="579" customHeight="1" spans="1:2">
      <c r="A579" s="17"/>
      <c r="B579" s="17"/>
    </row>
    <row r="580" customHeight="1" spans="1:2">
      <c r="A580" s="17"/>
      <c r="B580" s="17"/>
    </row>
    <row r="581" customHeight="1" spans="1:2">
      <c r="A581" s="17"/>
      <c r="B581" s="17"/>
    </row>
    <row r="582" customHeight="1" spans="1:2">
      <c r="A582" s="17"/>
      <c r="B582" s="17"/>
    </row>
    <row r="583" customHeight="1" spans="1:2">
      <c r="A583" s="17"/>
      <c r="B583" s="17"/>
    </row>
    <row r="584" customHeight="1" spans="1:2">
      <c r="A584" s="17"/>
      <c r="B584" s="17"/>
    </row>
    <row r="585" customHeight="1" spans="1:2">
      <c r="A585" s="17"/>
      <c r="B585" s="17"/>
    </row>
    <row r="586" customHeight="1" spans="1:2">
      <c r="A586" s="17"/>
      <c r="B586" s="17"/>
    </row>
    <row r="587" customHeight="1" spans="1:2">
      <c r="A587" s="17"/>
      <c r="B587" s="17"/>
    </row>
    <row r="588" customHeight="1" spans="1:2">
      <c r="A588" s="17"/>
      <c r="B588" s="17"/>
    </row>
    <row r="589" customHeight="1" spans="1:2">
      <c r="A589" s="17"/>
      <c r="B589" s="17"/>
    </row>
    <row r="590" customHeight="1" spans="1:2">
      <c r="A590" s="17"/>
      <c r="B590" s="17"/>
    </row>
    <row r="591" customHeight="1" spans="1:2">
      <c r="A591" s="17"/>
      <c r="B591" s="17"/>
    </row>
    <row r="592" customHeight="1" spans="1:2">
      <c r="A592" s="17"/>
      <c r="B592" s="17"/>
    </row>
    <row r="593" customHeight="1" spans="1:2">
      <c r="A593" s="17"/>
      <c r="B593" s="17"/>
    </row>
    <row r="594" customHeight="1" spans="1:2">
      <c r="A594" s="17"/>
      <c r="B594" s="17"/>
    </row>
    <row r="595" customHeight="1" spans="1:2">
      <c r="A595" s="17"/>
      <c r="B595" s="17"/>
    </row>
    <row r="596" customHeight="1" spans="1:2">
      <c r="A596" s="17"/>
      <c r="B596" s="17"/>
    </row>
    <row r="597" customHeight="1" spans="1:2">
      <c r="A597" s="17"/>
      <c r="B597" s="17"/>
    </row>
    <row r="598" customHeight="1" spans="1:2">
      <c r="A598" s="17"/>
      <c r="B598" s="17"/>
    </row>
    <row r="599" customHeight="1" spans="1:2">
      <c r="A599" s="17"/>
      <c r="B599" s="17"/>
    </row>
    <row r="600" customHeight="1" spans="1:2">
      <c r="A600" s="17"/>
      <c r="B600" s="17"/>
    </row>
    <row r="601" customHeight="1" spans="1:2">
      <c r="A601" s="17"/>
      <c r="B601" s="17"/>
    </row>
    <row r="602" customHeight="1" spans="1:2">
      <c r="A602" s="17"/>
      <c r="B602" s="17"/>
    </row>
    <row r="603" customHeight="1" spans="1:2">
      <c r="A603" s="17"/>
      <c r="B603" s="17"/>
    </row>
    <row r="604" customHeight="1" spans="1:2">
      <c r="A604" s="17"/>
      <c r="B604" s="17"/>
    </row>
    <row r="605" customHeight="1" spans="1:2">
      <c r="A605" s="17"/>
      <c r="B605" s="17"/>
    </row>
    <row r="606" customHeight="1" spans="1:2">
      <c r="A606" s="17"/>
      <c r="B606" s="17"/>
    </row>
    <row r="607" customHeight="1" spans="1:2">
      <c r="A607" s="17"/>
      <c r="B607" s="17"/>
    </row>
    <row r="608" customHeight="1" spans="1:2">
      <c r="A608" s="17"/>
      <c r="B608" s="17"/>
    </row>
    <row r="609" customHeight="1" spans="1:2">
      <c r="A609" s="17"/>
      <c r="B609" s="17"/>
    </row>
    <row r="610" customHeight="1" spans="1:2">
      <c r="A610" s="17"/>
      <c r="B610" s="17"/>
    </row>
    <row r="611" customHeight="1" spans="1:2">
      <c r="A611" s="17"/>
      <c r="B611" s="17"/>
    </row>
    <row r="612" customHeight="1" spans="1:2">
      <c r="A612" s="17"/>
      <c r="B612" s="17"/>
    </row>
    <row r="613" customHeight="1" spans="1:2">
      <c r="A613" s="17"/>
      <c r="B613" s="17"/>
    </row>
    <row r="614" customHeight="1" spans="1:2">
      <c r="A614" s="17"/>
      <c r="B614" s="17"/>
    </row>
    <row r="615" customHeight="1" spans="1:2">
      <c r="A615" s="17"/>
      <c r="B615" s="17"/>
    </row>
    <row r="616" customHeight="1" spans="1:2">
      <c r="A616" s="17"/>
      <c r="B616" s="17"/>
    </row>
    <row r="617" customHeight="1" spans="1:2">
      <c r="A617" s="17"/>
      <c r="B617" s="17"/>
    </row>
    <row r="618" customHeight="1" spans="1:2">
      <c r="A618" s="17"/>
      <c r="B618" s="17"/>
    </row>
    <row r="619" customHeight="1" spans="1:2">
      <c r="A619" s="17"/>
      <c r="B619" s="17"/>
    </row>
    <row r="620" customHeight="1" spans="1:2">
      <c r="A620" s="17"/>
      <c r="B620" s="17"/>
    </row>
    <row r="621" customHeight="1" spans="1:2">
      <c r="A621" s="17"/>
      <c r="B621" s="17"/>
    </row>
    <row r="622" customHeight="1" spans="1:2">
      <c r="A622" s="17"/>
      <c r="B622" s="17"/>
    </row>
    <row r="623" customHeight="1" spans="1:2">
      <c r="A623" s="17"/>
      <c r="B623" s="17"/>
    </row>
    <row r="624" customHeight="1" spans="1:2">
      <c r="A624" s="17"/>
      <c r="B624" s="17"/>
    </row>
    <row r="625" customHeight="1" spans="1:2">
      <c r="A625" s="17"/>
      <c r="B625" s="17"/>
    </row>
    <row r="626" customHeight="1" spans="1:2">
      <c r="A626" s="17"/>
      <c r="B626" s="17"/>
    </row>
    <row r="627" customHeight="1" spans="1:2">
      <c r="A627" s="17"/>
      <c r="B627" s="17"/>
    </row>
    <row r="628" customHeight="1" spans="1:2">
      <c r="A628" s="17"/>
      <c r="B628" s="17"/>
    </row>
    <row r="629" customHeight="1" spans="1:2">
      <c r="A629" s="17"/>
      <c r="B629" s="17"/>
    </row>
    <row r="630" customHeight="1" spans="1:2">
      <c r="A630" s="17"/>
      <c r="B630" s="17"/>
    </row>
    <row r="631" customHeight="1" spans="1:2">
      <c r="A631" s="17"/>
      <c r="B631" s="17"/>
    </row>
    <row r="632" customHeight="1" spans="1:2">
      <c r="A632" s="17"/>
      <c r="B632" s="17"/>
    </row>
    <row r="633" customHeight="1" spans="1:2">
      <c r="A633" s="17"/>
      <c r="B633" s="17"/>
    </row>
    <row r="634" customHeight="1" spans="1:2">
      <c r="A634" s="17"/>
      <c r="B634" s="17"/>
    </row>
    <row r="635" customHeight="1" spans="1:2">
      <c r="A635" s="17"/>
      <c r="B635" s="17"/>
    </row>
    <row r="636" customHeight="1" spans="1:2">
      <c r="A636" s="17"/>
      <c r="B636" s="17"/>
    </row>
    <row r="637" customHeight="1" spans="1:2">
      <c r="A637" s="17"/>
      <c r="B637" s="17"/>
    </row>
    <row r="638" customHeight="1" spans="1:2">
      <c r="A638" s="17"/>
      <c r="B638" s="17"/>
    </row>
    <row r="639" customHeight="1" spans="1:2">
      <c r="A639" s="17"/>
      <c r="B639" s="17"/>
    </row>
    <row r="640" customHeight="1" spans="1:2">
      <c r="A640" s="17"/>
      <c r="B640" s="17"/>
    </row>
    <row r="641" customHeight="1" spans="1:2">
      <c r="A641" s="17"/>
      <c r="B641" s="17"/>
    </row>
    <row r="642" customHeight="1" spans="1:2">
      <c r="A642" s="17"/>
      <c r="B642" s="17"/>
    </row>
    <row r="643" customHeight="1" spans="1:2">
      <c r="A643" s="17"/>
      <c r="B643" s="17"/>
    </row>
    <row r="644" customHeight="1" spans="1:2">
      <c r="A644" s="17"/>
      <c r="B644" s="17"/>
    </row>
    <row r="645" customHeight="1" spans="1:2">
      <c r="A645" s="17"/>
      <c r="B645" s="17"/>
    </row>
    <row r="646" customHeight="1" spans="1:2">
      <c r="A646" s="17"/>
      <c r="B646" s="17"/>
    </row>
    <row r="647" customHeight="1" spans="1:2">
      <c r="A647" s="17"/>
      <c r="B647" s="17"/>
    </row>
    <row r="648" customHeight="1" spans="1:2">
      <c r="A648" s="17"/>
      <c r="B648" s="17"/>
    </row>
    <row r="649" customHeight="1" spans="1:2">
      <c r="A649" s="17"/>
      <c r="B649" s="17"/>
    </row>
    <row r="650" customHeight="1" spans="1:2">
      <c r="A650" s="17"/>
      <c r="B650" s="17"/>
    </row>
    <row r="651" customHeight="1" spans="1:2">
      <c r="A651" s="17"/>
      <c r="B651" s="17"/>
    </row>
    <row r="652" customHeight="1" spans="1:2">
      <c r="A652" s="17"/>
      <c r="B652" s="17"/>
    </row>
    <row r="653" customHeight="1" spans="1:2">
      <c r="A653" s="17"/>
      <c r="B653" s="17"/>
    </row>
    <row r="654" customHeight="1" spans="1:2">
      <c r="A654" s="17"/>
      <c r="B654" s="17"/>
    </row>
    <row r="655" customHeight="1" spans="1:2">
      <c r="A655" s="17"/>
      <c r="B655" s="17"/>
    </row>
    <row r="656" customHeight="1" spans="1:2">
      <c r="A656" s="17"/>
      <c r="B656" s="17"/>
    </row>
    <row r="657" customHeight="1" spans="1:2">
      <c r="A657" s="17"/>
      <c r="B657" s="17"/>
    </row>
    <row r="658" customHeight="1" spans="1:2">
      <c r="A658" s="17"/>
      <c r="B658" s="17"/>
    </row>
    <row r="659" customHeight="1" spans="1:2">
      <c r="A659" s="17"/>
      <c r="B659" s="17"/>
    </row>
    <row r="660" customHeight="1" spans="1:2">
      <c r="A660" s="17"/>
      <c r="B660" s="17"/>
    </row>
    <row r="661" customHeight="1" spans="1:2">
      <c r="A661" s="17"/>
      <c r="B661" s="17"/>
    </row>
    <row r="662" customHeight="1" spans="1:2">
      <c r="A662" s="17"/>
      <c r="B662" s="17"/>
    </row>
    <row r="663" customHeight="1" spans="1:2">
      <c r="A663" s="17"/>
      <c r="B663" s="17"/>
    </row>
    <row r="664" customHeight="1" spans="1:2">
      <c r="A664" s="17"/>
      <c r="B664" s="17"/>
    </row>
    <row r="665" customHeight="1" spans="1:2">
      <c r="A665" s="17"/>
      <c r="B665" s="17"/>
    </row>
    <row r="666" customHeight="1" spans="1:2">
      <c r="A666" s="17"/>
      <c r="B666" s="17"/>
    </row>
    <row r="667" customHeight="1" spans="1:2">
      <c r="A667" s="17"/>
      <c r="B667" s="17"/>
    </row>
    <row r="668" customHeight="1" spans="1:2">
      <c r="A668" s="17"/>
      <c r="B668" s="17"/>
    </row>
    <row r="669" customHeight="1" spans="1:2">
      <c r="A669" s="17"/>
      <c r="B669" s="17"/>
    </row>
    <row r="670" customHeight="1" spans="1:2">
      <c r="A670" s="17"/>
      <c r="B670" s="17"/>
    </row>
    <row r="671" customHeight="1" spans="1:2">
      <c r="A671" s="17"/>
      <c r="B671" s="17"/>
    </row>
    <row r="672" customHeight="1" spans="1:2">
      <c r="A672" s="17"/>
      <c r="B672" s="17"/>
    </row>
    <row r="673" customHeight="1" spans="1:2">
      <c r="A673" s="17"/>
      <c r="B673" s="17"/>
    </row>
    <row r="674" customHeight="1" spans="1:2">
      <c r="A674" s="17"/>
      <c r="B674" s="17"/>
    </row>
    <row r="675" customHeight="1" spans="1:2">
      <c r="A675" s="17"/>
      <c r="B675" s="17"/>
    </row>
    <row r="676" customHeight="1" spans="1:2">
      <c r="A676" s="17"/>
      <c r="B676" s="17"/>
    </row>
    <row r="677" customHeight="1" spans="1:2">
      <c r="A677" s="17"/>
      <c r="B677" s="17"/>
    </row>
    <row r="678" customHeight="1" spans="1:2">
      <c r="A678" s="17"/>
      <c r="B678" s="17"/>
    </row>
    <row r="679" customHeight="1" spans="1:2">
      <c r="A679" s="17"/>
      <c r="B679" s="17"/>
    </row>
    <row r="680" customHeight="1" spans="1:2">
      <c r="A680" s="17"/>
      <c r="B680" s="17"/>
    </row>
    <row r="681" customHeight="1" spans="1:2">
      <c r="A681" s="17"/>
      <c r="B681" s="17"/>
    </row>
    <row r="682" customHeight="1" spans="1:2">
      <c r="A682" s="17"/>
      <c r="B682" s="17"/>
    </row>
    <row r="683" customHeight="1" spans="1:2">
      <c r="A683" s="17"/>
      <c r="B683" s="17"/>
    </row>
    <row r="684" customHeight="1" spans="1:2">
      <c r="A684" s="17"/>
      <c r="B684" s="17"/>
    </row>
    <row r="685" customHeight="1" spans="1:2">
      <c r="A685" s="17"/>
      <c r="B685" s="17"/>
    </row>
    <row r="686" customHeight="1" spans="1:2">
      <c r="A686" s="17"/>
      <c r="B686" s="17"/>
    </row>
    <row r="687" customHeight="1" spans="1:2">
      <c r="A687" s="17"/>
      <c r="B687" s="17"/>
    </row>
    <row r="688" customHeight="1" spans="1:2">
      <c r="A688" s="17"/>
      <c r="B688" s="17"/>
    </row>
    <row r="689" customHeight="1" spans="1:2">
      <c r="A689" s="17"/>
      <c r="B689" s="17"/>
    </row>
    <row r="690" customHeight="1" spans="1:2">
      <c r="A690" s="17"/>
      <c r="B690" s="17"/>
    </row>
    <row r="691" customHeight="1" spans="1:2">
      <c r="A691" s="17"/>
      <c r="B691" s="17"/>
    </row>
    <row r="692" customHeight="1" spans="1:2">
      <c r="A692" s="17"/>
      <c r="B692" s="17"/>
    </row>
    <row r="693" customHeight="1" spans="1:2">
      <c r="A693" s="17"/>
      <c r="B693" s="17"/>
    </row>
    <row r="694" customHeight="1" spans="1:2">
      <c r="A694" s="17"/>
      <c r="B694" s="17"/>
    </row>
    <row r="695" customHeight="1" spans="1:2">
      <c r="A695" s="17"/>
      <c r="B695" s="17"/>
    </row>
    <row r="696" customHeight="1" spans="1:2">
      <c r="A696" s="17"/>
      <c r="B696" s="17"/>
    </row>
    <row r="697" customHeight="1" spans="1:2">
      <c r="A697" s="17"/>
      <c r="B697" s="17"/>
    </row>
    <row r="698" customHeight="1" spans="1:2">
      <c r="A698" s="17"/>
      <c r="B698" s="17"/>
    </row>
    <row r="699" customHeight="1" spans="1:2">
      <c r="A699" s="17"/>
      <c r="B699" s="17"/>
    </row>
    <row r="700" customHeight="1" spans="1:2">
      <c r="A700" s="17"/>
      <c r="B700" s="17"/>
    </row>
    <row r="701" customHeight="1" spans="1:2">
      <c r="A701" s="17"/>
      <c r="B701" s="17"/>
    </row>
    <row r="702" customHeight="1" spans="1:2">
      <c r="A702" s="17"/>
      <c r="B702" s="17"/>
    </row>
    <row r="703" customHeight="1" spans="1:2">
      <c r="A703" s="17"/>
      <c r="B703" s="17"/>
    </row>
    <row r="704" customHeight="1" spans="1:2">
      <c r="A704" s="17"/>
      <c r="B704" s="17"/>
    </row>
    <row r="705" customHeight="1" spans="1:2">
      <c r="A705" s="17"/>
      <c r="B705" s="17"/>
    </row>
    <row r="706" customHeight="1" spans="1:2">
      <c r="A706" s="17"/>
      <c r="B706" s="17"/>
    </row>
    <row r="707" customHeight="1" spans="1:2">
      <c r="A707" s="17"/>
      <c r="B707" s="17"/>
    </row>
    <row r="708" customHeight="1" spans="1:2">
      <c r="A708" s="17"/>
      <c r="B708" s="17"/>
    </row>
    <row r="709" customHeight="1" spans="1:2">
      <c r="A709" s="17"/>
      <c r="B709" s="17"/>
    </row>
    <row r="710" customHeight="1" spans="1:2">
      <c r="A710" s="17"/>
      <c r="B710" s="17"/>
    </row>
    <row r="711" customHeight="1" spans="1:2">
      <c r="A711" s="17"/>
      <c r="B711" s="17"/>
    </row>
    <row r="712" customHeight="1" spans="1:2">
      <c r="A712" s="17"/>
      <c r="B712" s="17"/>
    </row>
    <row r="713" customHeight="1" spans="1:2">
      <c r="A713" s="17"/>
      <c r="B713" s="17"/>
    </row>
    <row r="714" customHeight="1" spans="1:2">
      <c r="A714" s="17"/>
      <c r="B714" s="17"/>
    </row>
    <row r="715" customHeight="1" spans="1:2">
      <c r="A715" s="17"/>
      <c r="B715" s="17"/>
    </row>
    <row r="716" customHeight="1" spans="1:2">
      <c r="A716" s="17"/>
      <c r="B716" s="17"/>
    </row>
    <row r="717" customHeight="1" spans="1:2">
      <c r="A717" s="17"/>
      <c r="B717" s="17"/>
    </row>
    <row r="718" customHeight="1" spans="1:2">
      <c r="A718" s="17"/>
      <c r="B718" s="17"/>
    </row>
    <row r="719" customHeight="1" spans="1:2">
      <c r="A719" s="17"/>
      <c r="B719" s="17"/>
    </row>
    <row r="720" customHeight="1" spans="1:2">
      <c r="A720" s="17"/>
      <c r="B720" s="17"/>
    </row>
    <row r="721" customHeight="1" spans="1:2">
      <c r="A721" s="17"/>
      <c r="B721" s="17"/>
    </row>
    <row r="722" customHeight="1" spans="1:2">
      <c r="A722" s="17"/>
      <c r="B722" s="17"/>
    </row>
    <row r="723" customHeight="1" spans="1:2">
      <c r="A723" s="17"/>
      <c r="B723" s="17"/>
    </row>
    <row r="724" customHeight="1" spans="1:2">
      <c r="A724" s="17"/>
      <c r="B724" s="17"/>
    </row>
    <row r="725" customHeight="1" spans="1:2">
      <c r="A725" s="17"/>
      <c r="B725" s="17"/>
    </row>
    <row r="726" customHeight="1" spans="1:2">
      <c r="A726" s="17"/>
      <c r="B726" s="17"/>
    </row>
    <row r="727" customHeight="1" spans="1:2">
      <c r="A727" s="17"/>
      <c r="B727" s="17"/>
    </row>
    <row r="728" customHeight="1" spans="1:2">
      <c r="A728" s="17"/>
      <c r="B728" s="17"/>
    </row>
    <row r="729" customHeight="1" spans="1:2">
      <c r="A729" s="17"/>
      <c r="B729" s="17"/>
    </row>
    <row r="730" customHeight="1" spans="1:2">
      <c r="A730" s="17"/>
      <c r="B730" s="17"/>
    </row>
    <row r="731" customHeight="1" spans="1:2">
      <c r="A731" s="17"/>
      <c r="B731" s="17"/>
    </row>
    <row r="732" customHeight="1" spans="1:2">
      <c r="A732" s="17"/>
      <c r="B732" s="17"/>
    </row>
    <row r="733" customHeight="1" spans="1:2">
      <c r="A733" s="17"/>
      <c r="B733" s="17"/>
    </row>
    <row r="734" customHeight="1" spans="1:2">
      <c r="A734" s="17"/>
      <c r="B734" s="17"/>
    </row>
    <row r="735" customHeight="1" spans="1:2">
      <c r="A735" s="17"/>
      <c r="B735" s="17"/>
    </row>
    <row r="736" customHeight="1" spans="1:2">
      <c r="A736" s="17"/>
      <c r="B736" s="17"/>
    </row>
    <row r="737" customHeight="1" spans="1:2">
      <c r="A737" s="17"/>
      <c r="B737" s="17"/>
    </row>
    <row r="738" customHeight="1" spans="1:2">
      <c r="A738" s="17"/>
      <c r="B738" s="17"/>
    </row>
    <row r="739" customHeight="1" spans="1:2">
      <c r="A739" s="17"/>
      <c r="B739" s="17"/>
    </row>
    <row r="740" customHeight="1" spans="1:2">
      <c r="A740" s="17"/>
      <c r="B740" s="17"/>
    </row>
    <row r="741" customHeight="1" spans="1:2">
      <c r="A741" s="17"/>
      <c r="B741" s="17"/>
    </row>
    <row r="742" customHeight="1" spans="1:2">
      <c r="A742" s="17"/>
      <c r="B742" s="17"/>
    </row>
    <row r="743" customHeight="1" spans="1:2">
      <c r="A743" s="17"/>
      <c r="B743" s="17"/>
    </row>
    <row r="744" customHeight="1" spans="1:2">
      <c r="A744" s="17"/>
      <c r="B744" s="17"/>
    </row>
    <row r="745" customHeight="1" spans="1:2">
      <c r="A745" s="17"/>
      <c r="B745" s="17"/>
    </row>
    <row r="746" customHeight="1" spans="1:2">
      <c r="A746" s="17"/>
      <c r="B746" s="17"/>
    </row>
    <row r="747" customHeight="1" spans="1:2">
      <c r="A747" s="17"/>
      <c r="B747" s="17"/>
    </row>
    <row r="748" customHeight="1" spans="1:2">
      <c r="A748" s="17"/>
      <c r="B748" s="17"/>
    </row>
    <row r="749" customHeight="1" spans="1:2">
      <c r="A749" s="17"/>
      <c r="B749" s="17"/>
    </row>
    <row r="750" customHeight="1" spans="1:2">
      <c r="A750" s="17"/>
      <c r="B750" s="17"/>
    </row>
    <row r="751" customHeight="1" spans="1:2">
      <c r="A751" s="17"/>
      <c r="B751" s="17"/>
    </row>
    <row r="752" customHeight="1" spans="1:2">
      <c r="A752" s="17"/>
      <c r="B752" s="17"/>
    </row>
    <row r="753" customHeight="1" spans="1:2">
      <c r="A753" s="17"/>
      <c r="B753" s="17"/>
    </row>
    <row r="754" customHeight="1" spans="1:2">
      <c r="A754" s="17"/>
      <c r="B754" s="17"/>
    </row>
    <row r="755" customHeight="1" spans="1:2">
      <c r="A755" s="17"/>
      <c r="B755" s="17"/>
    </row>
    <row r="756" customHeight="1" spans="1:2">
      <c r="A756" s="17"/>
      <c r="B756" s="17"/>
    </row>
    <row r="757" customHeight="1" spans="1:2">
      <c r="A757" s="17"/>
      <c r="B757" s="17"/>
    </row>
    <row r="758" customHeight="1" spans="1:2">
      <c r="A758" s="17"/>
      <c r="B758" s="17"/>
    </row>
    <row r="759" customHeight="1" spans="1:2">
      <c r="A759" s="17"/>
      <c r="B759" s="17"/>
    </row>
    <row r="760" customHeight="1" spans="1:2">
      <c r="A760" s="17"/>
      <c r="B760" s="17"/>
    </row>
    <row r="761" customHeight="1" spans="1:2">
      <c r="A761" s="17"/>
      <c r="B761" s="17"/>
    </row>
    <row r="762" customHeight="1" spans="1:2">
      <c r="A762" s="17"/>
      <c r="B762" s="17"/>
    </row>
    <row r="763" customHeight="1" spans="1:2">
      <c r="A763" s="17"/>
      <c r="B763" s="17"/>
    </row>
    <row r="764" customHeight="1" spans="1:2">
      <c r="A764" s="17"/>
      <c r="B764" s="17"/>
    </row>
    <row r="765" customHeight="1" spans="1:2">
      <c r="A765" s="17"/>
      <c r="B765" s="17"/>
    </row>
    <row r="766" customHeight="1" spans="1:2">
      <c r="A766" s="17"/>
      <c r="B766" s="17"/>
    </row>
    <row r="767" customHeight="1" spans="1:2">
      <c r="A767" s="17"/>
      <c r="B767" s="17"/>
    </row>
    <row r="768" customHeight="1" spans="1:2">
      <c r="A768" s="17"/>
      <c r="B768" s="17"/>
    </row>
    <row r="769" customHeight="1" spans="1:2">
      <c r="A769" s="17"/>
      <c r="B769" s="17"/>
    </row>
    <row r="770" customHeight="1" spans="1:2">
      <c r="A770" s="17"/>
      <c r="B770" s="17"/>
    </row>
    <row r="771" customHeight="1" spans="1:2">
      <c r="A771" s="17"/>
      <c r="B771" s="17"/>
    </row>
    <row r="772" customHeight="1" spans="1:2">
      <c r="A772" s="17"/>
      <c r="B772" s="17"/>
    </row>
    <row r="773" customHeight="1" spans="1:2">
      <c r="A773" s="17"/>
      <c r="B773" s="17"/>
    </row>
    <row r="774" customHeight="1" spans="1:2">
      <c r="A774" s="17"/>
      <c r="B774" s="17"/>
    </row>
    <row r="775" customHeight="1" spans="1:2">
      <c r="A775" s="17"/>
      <c r="B775" s="17"/>
    </row>
    <row r="776" customHeight="1" spans="1:2">
      <c r="A776" s="17"/>
      <c r="B776" s="17"/>
    </row>
    <row r="777" customHeight="1" spans="1:2">
      <c r="A777" s="17"/>
      <c r="B777" s="17"/>
    </row>
    <row r="778" customHeight="1" spans="1:2">
      <c r="A778" s="17"/>
      <c r="B778" s="17"/>
    </row>
    <row r="779" customHeight="1" spans="1:2">
      <c r="A779" s="17"/>
      <c r="B779" s="17"/>
    </row>
    <row r="780" customHeight="1" spans="1:2">
      <c r="A780" s="17"/>
      <c r="B780" s="17"/>
    </row>
    <row r="781" customHeight="1" spans="1:2">
      <c r="A781" s="17"/>
      <c r="B781" s="17"/>
    </row>
    <row r="782" customHeight="1" spans="1:2">
      <c r="A782" s="17"/>
      <c r="B782" s="17"/>
    </row>
    <row r="783" customHeight="1" spans="1:2">
      <c r="A783" s="17"/>
      <c r="B783" s="17"/>
    </row>
    <row r="784" customHeight="1" spans="1:2">
      <c r="A784" s="17"/>
      <c r="B784" s="17"/>
    </row>
    <row r="785" customHeight="1" spans="1:2">
      <c r="A785" s="17"/>
      <c r="B785" s="17"/>
    </row>
    <row r="786" customHeight="1" spans="1:2">
      <c r="A786" s="17"/>
      <c r="B786" s="17"/>
    </row>
    <row r="787" customHeight="1" spans="1:2">
      <c r="A787" s="17"/>
      <c r="B787" s="17"/>
    </row>
    <row r="788" customHeight="1" spans="1:2">
      <c r="A788" s="17"/>
      <c r="B788" s="17"/>
    </row>
    <row r="789" customHeight="1" spans="1:2">
      <c r="A789" s="17"/>
      <c r="B789" s="17"/>
    </row>
    <row r="790" customHeight="1" spans="1:2">
      <c r="A790" s="17"/>
      <c r="B790" s="17"/>
    </row>
    <row r="791" customHeight="1" spans="1:2">
      <c r="A791" s="17"/>
      <c r="B791" s="17"/>
    </row>
    <row r="792" customHeight="1" spans="1:2">
      <c r="A792" s="17"/>
      <c r="B792" s="17"/>
    </row>
    <row r="793" customHeight="1" spans="1:2">
      <c r="A793" s="17"/>
      <c r="B793" s="17"/>
    </row>
    <row r="794" customHeight="1" spans="1:2">
      <c r="A794" s="17"/>
      <c r="B794" s="17"/>
    </row>
    <row r="795" customHeight="1" spans="1:2">
      <c r="A795" s="17"/>
      <c r="B795" s="17"/>
    </row>
    <row r="796" customHeight="1" spans="1:2">
      <c r="A796" s="17"/>
      <c r="B796" s="17"/>
    </row>
    <row r="797" customHeight="1" spans="1:2">
      <c r="A797" s="17"/>
      <c r="B797" s="17"/>
    </row>
    <row r="798" customHeight="1" spans="1:2">
      <c r="A798" s="17"/>
      <c r="B798" s="17"/>
    </row>
    <row r="799" customHeight="1" spans="1:2">
      <c r="A799" s="17"/>
      <c r="B799" s="17"/>
    </row>
    <row r="800" customHeight="1" spans="1:2">
      <c r="A800" s="17"/>
      <c r="B800" s="17"/>
    </row>
    <row r="801" customHeight="1" spans="1:2">
      <c r="A801" s="17"/>
      <c r="B801" s="17"/>
    </row>
    <row r="802" customHeight="1" spans="1:2">
      <c r="A802" s="17"/>
      <c r="B802" s="17"/>
    </row>
    <row r="803" customHeight="1" spans="1:2">
      <c r="A803" s="17"/>
      <c r="B803" s="17"/>
    </row>
    <row r="804" customHeight="1" spans="1:2">
      <c r="A804" s="17"/>
      <c r="B804" s="17"/>
    </row>
    <row r="805" customHeight="1" spans="1:2">
      <c r="A805" s="17"/>
      <c r="B805" s="17"/>
    </row>
    <row r="806" customHeight="1" spans="1:2">
      <c r="A806" s="17"/>
      <c r="B806" s="17"/>
    </row>
    <row r="807" customHeight="1" spans="1:2">
      <c r="A807" s="17"/>
      <c r="B807" s="17"/>
    </row>
    <row r="808" customHeight="1" spans="1:2">
      <c r="A808" s="17"/>
      <c r="B808" s="17"/>
    </row>
    <row r="809" customHeight="1" spans="1:2">
      <c r="A809" s="17"/>
      <c r="B809" s="17"/>
    </row>
    <row r="810" customHeight="1" spans="1:2">
      <c r="A810" s="17"/>
      <c r="B810" s="17"/>
    </row>
    <row r="811" customHeight="1" spans="1:2">
      <c r="A811" s="17"/>
      <c r="B811" s="17"/>
    </row>
    <row r="812" customHeight="1" spans="1:2">
      <c r="A812" s="17"/>
      <c r="B812" s="17"/>
    </row>
    <row r="813" customHeight="1" spans="1:2">
      <c r="A813" s="17"/>
      <c r="B813" s="17"/>
    </row>
    <row r="814" customHeight="1" spans="1:2">
      <c r="A814" s="17"/>
      <c r="B814" s="17"/>
    </row>
    <row r="815" customHeight="1" spans="1:2">
      <c r="A815" s="17"/>
      <c r="B815" s="17"/>
    </row>
    <row r="816" customHeight="1" spans="1:2">
      <c r="A816" s="17"/>
      <c r="B816" s="17"/>
    </row>
    <row r="817" customHeight="1" spans="1:2">
      <c r="A817" s="17"/>
      <c r="B817" s="17"/>
    </row>
    <row r="818" customHeight="1" spans="1:2">
      <c r="A818" s="17"/>
      <c r="B818" s="17"/>
    </row>
    <row r="819" customHeight="1" spans="1:2">
      <c r="A819" s="17"/>
      <c r="B819" s="17"/>
    </row>
    <row r="820" customHeight="1" spans="1:2">
      <c r="A820" s="17"/>
      <c r="B820" s="17"/>
    </row>
    <row r="821" customHeight="1" spans="1:2">
      <c r="A821" s="17"/>
      <c r="B821" s="17"/>
    </row>
    <row r="822" customHeight="1" spans="1:2">
      <c r="A822" s="17"/>
      <c r="B822" s="17"/>
    </row>
    <row r="823" customHeight="1" spans="1:2">
      <c r="A823" s="17"/>
      <c r="B823" s="17"/>
    </row>
    <row r="824" customHeight="1" spans="1:2">
      <c r="A824" s="17"/>
      <c r="B824" s="17"/>
    </row>
    <row r="825" customHeight="1" spans="1:2">
      <c r="A825" s="17"/>
      <c r="B825" s="17"/>
    </row>
    <row r="826" customHeight="1" spans="1:2">
      <c r="A826" s="17"/>
      <c r="B826" s="17"/>
    </row>
    <row r="827" customHeight="1" spans="1:2">
      <c r="A827" s="17"/>
      <c r="B827" s="17"/>
    </row>
    <row r="828" customHeight="1" spans="1:2">
      <c r="A828" s="17"/>
      <c r="B828" s="17"/>
    </row>
    <row r="829" customHeight="1" spans="1:2">
      <c r="A829" s="17"/>
      <c r="B829" s="17"/>
    </row>
    <row r="830" customHeight="1" spans="1:2">
      <c r="A830" s="17"/>
      <c r="B830" s="17"/>
    </row>
    <row r="831" customHeight="1" spans="1:2">
      <c r="A831" s="17"/>
      <c r="B831" s="17"/>
    </row>
    <row r="832" customHeight="1" spans="1:2">
      <c r="A832" s="17"/>
      <c r="B832" s="17"/>
    </row>
    <row r="833" customHeight="1" spans="1:2">
      <c r="A833" s="17"/>
      <c r="B833" s="17"/>
    </row>
    <row r="834" customHeight="1" spans="1:2">
      <c r="A834" s="17"/>
      <c r="B834" s="17"/>
    </row>
    <row r="835" customHeight="1" spans="1:2">
      <c r="A835" s="17"/>
      <c r="B835" s="17"/>
    </row>
    <row r="836" customHeight="1" spans="1:2">
      <c r="A836" s="17"/>
      <c r="B836" s="17"/>
    </row>
    <row r="837" customHeight="1" spans="1:2">
      <c r="A837" s="17"/>
      <c r="B837" s="17"/>
    </row>
    <row r="838" customHeight="1" spans="1:2">
      <c r="A838" s="17"/>
      <c r="B838" s="17"/>
    </row>
    <row r="839" customHeight="1" spans="1:2">
      <c r="A839" s="17"/>
      <c r="B839" s="17"/>
    </row>
    <row r="840" customHeight="1" spans="1:2">
      <c r="A840" s="17"/>
      <c r="B840" s="17"/>
    </row>
    <row r="841" customHeight="1" spans="1:2">
      <c r="A841" s="17"/>
      <c r="B841" s="17"/>
    </row>
    <row r="842" customHeight="1" spans="1:2">
      <c r="A842" s="17"/>
      <c r="B842" s="17"/>
    </row>
    <row r="843" customHeight="1" spans="1:2">
      <c r="A843" s="17"/>
      <c r="B843" s="17"/>
    </row>
    <row r="844" customHeight="1" spans="1:2">
      <c r="A844" s="17"/>
      <c r="B844" s="17"/>
    </row>
    <row r="845" customHeight="1" spans="1:2">
      <c r="A845" s="17"/>
      <c r="B845" s="17"/>
    </row>
    <row r="846" customHeight="1" spans="1:2">
      <c r="A846" s="17"/>
      <c r="B846" s="17"/>
    </row>
    <row r="847" customHeight="1" spans="1:2">
      <c r="A847" s="17"/>
      <c r="B847" s="17"/>
    </row>
    <row r="848" customHeight="1" spans="1:2">
      <c r="A848" s="17"/>
      <c r="B848" s="17"/>
    </row>
    <row r="849" customHeight="1" spans="1:2">
      <c r="A849" s="17"/>
      <c r="B849" s="17"/>
    </row>
    <row r="850" customHeight="1" spans="1:2">
      <c r="A850" s="17"/>
      <c r="B850" s="17"/>
    </row>
    <row r="851" customHeight="1" spans="1:2">
      <c r="A851" s="17"/>
      <c r="B851" s="17"/>
    </row>
    <row r="852" customHeight="1" spans="1:2">
      <c r="A852" s="17"/>
      <c r="B852" s="17"/>
    </row>
    <row r="853" customHeight="1" spans="1:2">
      <c r="A853" s="17"/>
      <c r="B853" s="17"/>
    </row>
    <row r="854" customHeight="1" spans="1:2">
      <c r="A854" s="17"/>
      <c r="B854" s="17"/>
    </row>
    <row r="855" customHeight="1" spans="1:2">
      <c r="A855" s="17"/>
      <c r="B855" s="17"/>
    </row>
    <row r="856" customHeight="1" spans="1:2">
      <c r="A856" s="17"/>
      <c r="B856" s="17"/>
    </row>
    <row r="857" customHeight="1" spans="1:2">
      <c r="A857" s="17"/>
      <c r="B857" s="17"/>
    </row>
    <row r="858" customHeight="1" spans="1:2">
      <c r="A858" s="17"/>
      <c r="B858" s="17"/>
    </row>
    <row r="859" customHeight="1" spans="1:2">
      <c r="A859" s="17"/>
      <c r="B859" s="17"/>
    </row>
    <row r="860" customHeight="1" spans="1:2">
      <c r="A860" s="17"/>
      <c r="B860" s="17"/>
    </row>
    <row r="861" customHeight="1" spans="1:2">
      <c r="A861" s="17"/>
      <c r="B861" s="17"/>
    </row>
    <row r="862" customHeight="1" spans="1:2">
      <c r="A862" s="17"/>
      <c r="B862" s="17"/>
    </row>
    <row r="863" customHeight="1" spans="1:2">
      <c r="A863" s="17"/>
      <c r="B863" s="17"/>
    </row>
    <row r="864" customHeight="1" spans="1:2">
      <c r="A864" s="17"/>
      <c r="B864" s="17"/>
    </row>
    <row r="865" customHeight="1" spans="1:2">
      <c r="A865" s="17"/>
      <c r="B865" s="17"/>
    </row>
    <row r="866" customHeight="1" spans="1:2">
      <c r="A866" s="17"/>
      <c r="B866" s="17"/>
    </row>
    <row r="867" customHeight="1" spans="1:2">
      <c r="A867" s="17"/>
      <c r="B867" s="17"/>
    </row>
    <row r="868" customHeight="1" spans="1:2">
      <c r="A868" s="17"/>
      <c r="B868" s="17"/>
    </row>
    <row r="869" customHeight="1" spans="1:2">
      <c r="A869" s="17"/>
      <c r="B869" s="17"/>
    </row>
    <row r="870" customHeight="1" spans="1:2">
      <c r="A870" s="17"/>
      <c r="B870" s="17"/>
    </row>
    <row r="871" customHeight="1" spans="1:2">
      <c r="A871" s="17"/>
      <c r="B871" s="17"/>
    </row>
    <row r="872" customHeight="1" spans="1:2">
      <c r="A872" s="17"/>
      <c r="B872" s="17"/>
    </row>
    <row r="873" customHeight="1" spans="1:2">
      <c r="A873" s="17"/>
      <c r="B873" s="17"/>
    </row>
    <row r="874" customHeight="1" spans="1:2">
      <c r="A874" s="17"/>
      <c r="B874" s="17"/>
    </row>
    <row r="875" customHeight="1" spans="1:2">
      <c r="A875" s="17"/>
      <c r="B875" s="17"/>
    </row>
    <row r="876" customHeight="1" spans="1:2">
      <c r="A876" s="17"/>
      <c r="B876" s="17"/>
    </row>
    <row r="877" customHeight="1" spans="1:2">
      <c r="A877" s="17"/>
      <c r="B877" s="17"/>
    </row>
    <row r="878" customHeight="1" spans="1:2">
      <c r="A878" s="17"/>
      <c r="B878" s="17"/>
    </row>
    <row r="879" customHeight="1" spans="1:2">
      <c r="A879" s="17"/>
      <c r="B879" s="17"/>
    </row>
    <row r="880" customHeight="1" spans="1:2">
      <c r="A880" s="17"/>
      <c r="B880" s="17"/>
    </row>
    <row r="881" customHeight="1" spans="1:2">
      <c r="A881" s="17"/>
      <c r="B881" s="17"/>
    </row>
    <row r="882" customHeight="1" spans="1:2">
      <c r="A882" s="17"/>
      <c r="B882" s="17"/>
    </row>
    <row r="883" customHeight="1" spans="1:2">
      <c r="A883" s="17"/>
      <c r="B883" s="17"/>
    </row>
    <row r="884" customHeight="1" spans="1:2">
      <c r="A884" s="17"/>
      <c r="B884" s="17"/>
    </row>
    <row r="885" customHeight="1" spans="1:2">
      <c r="A885" s="17"/>
      <c r="B885" s="17"/>
    </row>
    <row r="886" customHeight="1" spans="1:2">
      <c r="A886" s="17"/>
      <c r="B886" s="17"/>
    </row>
    <row r="887" customHeight="1" spans="1:2">
      <c r="A887" s="17"/>
      <c r="B887" s="17"/>
    </row>
    <row r="888" customHeight="1" spans="1:2">
      <c r="A888" s="17"/>
      <c r="B888" s="17"/>
    </row>
    <row r="889" customHeight="1" spans="1:2">
      <c r="A889" s="17"/>
      <c r="B889" s="17"/>
    </row>
    <row r="890" customHeight="1" spans="1:2">
      <c r="A890" s="17"/>
      <c r="B890" s="17"/>
    </row>
    <row r="891" customHeight="1" spans="1:2">
      <c r="A891" s="17"/>
      <c r="B891" s="17"/>
    </row>
    <row r="892" customHeight="1" spans="1:2">
      <c r="A892" s="17"/>
      <c r="B892" s="17"/>
    </row>
    <row r="893" customHeight="1" spans="1:2">
      <c r="A893" s="17"/>
      <c r="B893" s="17"/>
    </row>
    <row r="894" customHeight="1" spans="1:2">
      <c r="A894" s="17"/>
      <c r="B894" s="17"/>
    </row>
    <row r="895" customHeight="1" spans="1:2">
      <c r="A895" s="17"/>
      <c r="B895" s="17"/>
    </row>
    <row r="896" customHeight="1" spans="1:2">
      <c r="A896" s="17"/>
      <c r="B896" s="17"/>
    </row>
    <row r="897" customHeight="1" spans="1:2">
      <c r="A897" s="17"/>
      <c r="B897" s="17"/>
    </row>
    <row r="898" customHeight="1" spans="1:2">
      <c r="A898" s="17"/>
      <c r="B898" s="17"/>
    </row>
    <row r="899" customHeight="1" spans="1:2">
      <c r="A899" s="17"/>
      <c r="B899" s="17"/>
    </row>
    <row r="900" customHeight="1" spans="1:2">
      <c r="A900" s="17"/>
      <c r="B900" s="17"/>
    </row>
    <row r="901" customHeight="1" spans="1:2">
      <c r="A901" s="17"/>
      <c r="B901" s="17"/>
    </row>
    <row r="902" customHeight="1" spans="1:2">
      <c r="A902" s="17"/>
      <c r="B902" s="17"/>
    </row>
    <row r="903" customHeight="1" spans="1:2">
      <c r="A903" s="17"/>
      <c r="B903" s="17"/>
    </row>
    <row r="904" customHeight="1" spans="1:2">
      <c r="A904" s="17"/>
      <c r="B904" s="17"/>
    </row>
    <row r="905" customHeight="1" spans="1:2">
      <c r="A905" s="17"/>
      <c r="B905" s="17"/>
    </row>
    <row r="906" customHeight="1" spans="1:2">
      <c r="A906" s="17"/>
      <c r="B906" s="17"/>
    </row>
    <row r="907" customHeight="1" spans="1:2">
      <c r="A907" s="17"/>
      <c r="B907" s="17"/>
    </row>
    <row r="908" customHeight="1" spans="1:2">
      <c r="A908" s="17"/>
      <c r="B908" s="17"/>
    </row>
    <row r="909" customHeight="1" spans="1:2">
      <c r="A909" s="17"/>
      <c r="B909" s="17"/>
    </row>
    <row r="910" customHeight="1" spans="1:2">
      <c r="A910" s="17"/>
      <c r="B910" s="17"/>
    </row>
    <row r="911" customHeight="1" spans="1:2">
      <c r="A911" s="17"/>
      <c r="B911" s="17"/>
    </row>
    <row r="912" customHeight="1" spans="1:2">
      <c r="A912" s="17"/>
      <c r="B912" s="17"/>
    </row>
    <row r="913" customHeight="1" spans="1:2">
      <c r="A913" s="17"/>
      <c r="B913" s="17"/>
    </row>
    <row r="914" customHeight="1" spans="1:2">
      <c r="A914" s="17"/>
      <c r="B914" s="17"/>
    </row>
    <row r="915" customHeight="1" spans="1:2">
      <c r="A915" s="17"/>
      <c r="B915" s="17"/>
    </row>
    <row r="916" customHeight="1" spans="1:2">
      <c r="A916" s="17"/>
      <c r="B916" s="17"/>
    </row>
    <row r="917" customHeight="1" spans="1:2">
      <c r="A917" s="17"/>
      <c r="B917" s="17"/>
    </row>
    <row r="918" customHeight="1" spans="1:2">
      <c r="A918" s="17"/>
      <c r="B918" s="17"/>
    </row>
    <row r="919" customHeight="1" spans="1:2">
      <c r="A919" s="17"/>
      <c r="B919" s="17"/>
    </row>
    <row r="920" customHeight="1" spans="1:2">
      <c r="A920" s="17"/>
      <c r="B920" s="17"/>
    </row>
    <row r="921" customHeight="1" spans="1:2">
      <c r="A921" s="17"/>
      <c r="B921" s="17"/>
    </row>
    <row r="922" customHeight="1" spans="1:2">
      <c r="A922" s="17"/>
      <c r="B922" s="17"/>
    </row>
    <row r="923" customHeight="1" spans="1:2">
      <c r="A923" s="17"/>
      <c r="B923" s="17"/>
    </row>
    <row r="924" customHeight="1" spans="1:2">
      <c r="A924" s="17"/>
      <c r="B924" s="17"/>
    </row>
    <row r="925" customHeight="1" spans="1:2">
      <c r="A925" s="17"/>
      <c r="B925" s="17"/>
    </row>
    <row r="926" customHeight="1" spans="1:2">
      <c r="A926" s="17"/>
      <c r="B926" s="17"/>
    </row>
    <row r="927" customHeight="1" spans="1:2">
      <c r="A927" s="17"/>
      <c r="B927" s="17"/>
    </row>
    <row r="928" customHeight="1" spans="1:2">
      <c r="A928" s="17"/>
      <c r="B928" s="17"/>
    </row>
    <row r="929" customHeight="1" spans="1:2">
      <c r="A929" s="17"/>
      <c r="B929" s="17"/>
    </row>
    <row r="930" customHeight="1" spans="1:2">
      <c r="A930" s="17"/>
      <c r="B930" s="17"/>
    </row>
    <row r="931" customHeight="1" spans="1:2">
      <c r="A931" s="17"/>
      <c r="B931" s="17"/>
    </row>
    <row r="932" customHeight="1" spans="1:2">
      <c r="A932" s="17"/>
      <c r="B932" s="17"/>
    </row>
    <row r="933" customHeight="1" spans="1:2">
      <c r="A933" s="17"/>
      <c r="B933" s="17"/>
    </row>
    <row r="934" customHeight="1" spans="1:2">
      <c r="A934" s="17"/>
      <c r="B934" s="17"/>
    </row>
    <row r="935" customHeight="1" spans="1:2">
      <c r="A935" s="17"/>
      <c r="B935" s="17"/>
    </row>
    <row r="936" customHeight="1" spans="1:2">
      <c r="A936" s="17"/>
      <c r="B936" s="17"/>
    </row>
    <row r="937" customHeight="1" spans="1:2">
      <c r="A937" s="17"/>
      <c r="B937" s="17"/>
    </row>
    <row r="938" customHeight="1" spans="1:2">
      <c r="A938" s="17"/>
      <c r="B938" s="17"/>
    </row>
    <row r="939" customHeight="1" spans="1:2">
      <c r="A939" s="17"/>
      <c r="B939" s="17"/>
    </row>
    <row r="940" customHeight="1" spans="1:2">
      <c r="A940" s="17"/>
      <c r="B940" s="17"/>
    </row>
    <row r="941" customHeight="1" spans="1:2">
      <c r="A941" s="17"/>
      <c r="B941" s="17"/>
    </row>
    <row r="942" customHeight="1" spans="1:2">
      <c r="A942" s="17"/>
      <c r="B942" s="17"/>
    </row>
    <row r="943" customHeight="1" spans="1:2">
      <c r="A943" s="17"/>
      <c r="B943" s="17"/>
    </row>
    <row r="944" customHeight="1" spans="1:2">
      <c r="A944" s="17"/>
      <c r="B944" s="17"/>
    </row>
    <row r="945" customHeight="1" spans="1:2">
      <c r="A945" s="17"/>
      <c r="B945" s="17"/>
    </row>
    <row r="946" customHeight="1" spans="1:2">
      <c r="A946" s="17"/>
      <c r="B946" s="17"/>
    </row>
    <row r="947" customHeight="1" spans="1:2">
      <c r="A947" s="17"/>
      <c r="B947" s="17"/>
    </row>
    <row r="948" customHeight="1" spans="1:2">
      <c r="A948" s="17"/>
      <c r="B948" s="17"/>
    </row>
    <row r="949" customHeight="1" spans="1:2">
      <c r="A949" s="17"/>
      <c r="B949" s="17"/>
    </row>
    <row r="950" customHeight="1" spans="1:2">
      <c r="A950" s="17"/>
      <c r="B950" s="17"/>
    </row>
    <row r="951" customHeight="1" spans="1:2">
      <c r="A951" s="17"/>
      <c r="B951" s="17"/>
    </row>
    <row r="952" customHeight="1" spans="1:2">
      <c r="A952" s="17"/>
      <c r="B952" s="17"/>
    </row>
    <row r="953" customHeight="1" spans="1:2">
      <c r="A953" s="17"/>
      <c r="B953" s="17"/>
    </row>
    <row r="954" customHeight="1" spans="1:2">
      <c r="A954" s="17"/>
      <c r="B954" s="17"/>
    </row>
    <row r="955" customHeight="1" spans="1:2">
      <c r="A955" s="17"/>
      <c r="B955" s="17"/>
    </row>
    <row r="956" customHeight="1" spans="1:2">
      <c r="A956" s="17"/>
      <c r="B956" s="17"/>
    </row>
    <row r="957" customHeight="1" spans="1:2">
      <c r="A957" s="17"/>
      <c r="B957" s="17"/>
    </row>
    <row r="958" customHeight="1" spans="1:2">
      <c r="A958" s="17"/>
      <c r="B958" s="17"/>
    </row>
    <row r="959" customHeight="1" spans="1:2">
      <c r="A959" s="17"/>
      <c r="B959" s="17"/>
    </row>
    <row r="960" customHeight="1" spans="1:2">
      <c r="A960" s="17"/>
      <c r="B960" s="17"/>
    </row>
    <row r="961" customHeight="1" spans="1:2">
      <c r="A961" s="17"/>
      <c r="B961" s="17"/>
    </row>
    <row r="962" customHeight="1" spans="1:2">
      <c r="A962" s="17"/>
      <c r="B962" s="17"/>
    </row>
    <row r="963" customHeight="1" spans="1:2">
      <c r="A963" s="17"/>
      <c r="B963" s="17"/>
    </row>
    <row r="964" customHeight="1" spans="1:2">
      <c r="A964" s="17"/>
      <c r="B964" s="17"/>
    </row>
    <row r="965" customHeight="1" spans="1:2">
      <c r="A965" s="17"/>
      <c r="B965" s="17"/>
    </row>
    <row r="966" customHeight="1" spans="1:2">
      <c r="A966" s="17"/>
      <c r="B966" s="17"/>
    </row>
    <row r="967" customHeight="1" spans="1:2">
      <c r="A967" s="17"/>
      <c r="B967" s="17"/>
    </row>
    <row r="968" customHeight="1" spans="1:2">
      <c r="A968" s="17"/>
      <c r="B968" s="17"/>
    </row>
    <row r="969" customHeight="1" spans="1:2">
      <c r="A969" s="17"/>
      <c r="B969" s="17"/>
    </row>
    <row r="970" customHeight="1" spans="1:2">
      <c r="A970" s="17"/>
      <c r="B970" s="17"/>
    </row>
    <row r="971" customHeight="1" spans="1:2">
      <c r="A971" s="17"/>
      <c r="B971" s="17"/>
    </row>
    <row r="972" customHeight="1" spans="1:2">
      <c r="A972" s="17"/>
      <c r="B972" s="17"/>
    </row>
    <row r="973" customHeight="1" spans="1:2">
      <c r="A973" s="17"/>
      <c r="B973" s="17"/>
    </row>
    <row r="974" customHeight="1" spans="1:2">
      <c r="A974" s="17"/>
      <c r="B974" s="17"/>
    </row>
    <row r="975" customHeight="1" spans="1:2">
      <c r="A975" s="17"/>
      <c r="B975" s="17"/>
    </row>
    <row r="976" customHeight="1" spans="1:2">
      <c r="A976" s="17"/>
      <c r="B976" s="17"/>
    </row>
    <row r="977" customHeight="1" spans="1:2">
      <c r="A977" s="17"/>
      <c r="B977" s="17"/>
    </row>
    <row r="978" customHeight="1" spans="1:2">
      <c r="A978" s="17"/>
      <c r="B978" s="17"/>
    </row>
    <row r="979" customHeight="1" spans="1:2">
      <c r="A979" s="17"/>
      <c r="B979" s="17"/>
    </row>
    <row r="980" customHeight="1" spans="1:2">
      <c r="A980" s="17"/>
      <c r="B980" s="17"/>
    </row>
    <row r="981" customHeight="1" spans="1:2">
      <c r="A981" s="17"/>
      <c r="B981" s="17"/>
    </row>
    <row r="982" customHeight="1" spans="1:2">
      <c r="A982" s="17"/>
      <c r="B982" s="17"/>
    </row>
    <row r="983" customHeight="1" spans="1:2">
      <c r="A983" s="17"/>
      <c r="B983" s="17"/>
    </row>
    <row r="984" customHeight="1" spans="1:2">
      <c r="A984" s="17"/>
      <c r="B984" s="17"/>
    </row>
    <row r="985" customHeight="1" spans="1:2">
      <c r="A985" s="17"/>
      <c r="B985" s="17"/>
    </row>
    <row r="986" customHeight="1" spans="1:2">
      <c r="A986" s="17"/>
      <c r="B986" s="17"/>
    </row>
    <row r="987" customHeight="1" spans="1:2">
      <c r="A987" s="17"/>
      <c r="B987" s="17"/>
    </row>
    <row r="988" customHeight="1" spans="1:2">
      <c r="A988" s="17"/>
      <c r="B988" s="17"/>
    </row>
    <row r="989" customHeight="1" spans="1:2">
      <c r="A989" s="17"/>
      <c r="B989" s="17"/>
    </row>
    <row r="990" customHeight="1" spans="1:2">
      <c r="A990" s="17"/>
      <c r="B990" s="17"/>
    </row>
    <row r="991" customHeight="1" spans="1:2">
      <c r="A991" s="17"/>
      <c r="B991" s="17"/>
    </row>
    <row r="992" customHeight="1" spans="1:2">
      <c r="A992" s="17"/>
      <c r="B992" s="17"/>
    </row>
    <row r="993" customHeight="1" spans="1:2">
      <c r="A993" s="17"/>
      <c r="B993" s="17"/>
    </row>
    <row r="994" customHeight="1" spans="1:2">
      <c r="A994" s="17"/>
      <c r="B994" s="17"/>
    </row>
    <row r="995" customHeight="1" spans="1:2">
      <c r="A995" s="17"/>
      <c r="B995" s="17"/>
    </row>
    <row r="996" customHeight="1" spans="1:2">
      <c r="A996" s="17"/>
      <c r="B996" s="17"/>
    </row>
    <row r="997" customHeight="1" spans="1:2">
      <c r="A997" s="17"/>
      <c r="B997" s="17"/>
    </row>
    <row r="998" customHeight="1" spans="1:2">
      <c r="A998" s="17"/>
      <c r="B998" s="17"/>
    </row>
    <row r="999" customHeight="1" spans="1:2">
      <c r="A999" s="17"/>
      <c r="B999" s="17"/>
    </row>
    <row r="1000" customHeight="1" spans="1:2">
      <c r="A1000" s="17"/>
      <c r="B1000" s="17"/>
    </row>
  </sheetData>
  <autoFilter xmlns:etc="http://www.wps.cn/officeDocument/2017/etCustomData" ref="A1:A1000"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26"/>
  <sheetViews>
    <sheetView showGridLines="0" workbookViewId="0">
      <selection activeCell="B3" sqref="B3"/>
    </sheetView>
  </sheetViews>
  <sheetFormatPr defaultColWidth="12.6285714285714" defaultRowHeight="15.75" customHeight="1" outlineLevelCol="3"/>
  <cols>
    <col min="2" max="2" width="30.5047619047619" customWidth="1"/>
  </cols>
  <sheetData>
    <row r="1" ht="30" customHeight="1" spans="1:2">
      <c r="A1" s="1" t="s">
        <v>115</v>
      </c>
      <c r="B1" s="2"/>
    </row>
    <row r="2" spans="1:2">
      <c r="A2" s="3" t="s">
        <v>14</v>
      </c>
      <c r="B2" s="4" t="s">
        <v>116</v>
      </c>
    </row>
    <row r="3" spans="1:2">
      <c r="A3" s="3" t="s">
        <v>87</v>
      </c>
      <c r="B3" s="4">
        <v>307064</v>
      </c>
    </row>
    <row r="4" spans="1:2">
      <c r="A4" s="5" t="s">
        <v>88</v>
      </c>
      <c r="B4" s="6">
        <v>261458</v>
      </c>
    </row>
    <row r="5" spans="1:2">
      <c r="A5" s="5" t="s">
        <v>89</v>
      </c>
      <c r="B5" s="6">
        <v>1230773</v>
      </c>
    </row>
    <row r="6" spans="1:2">
      <c r="A6" s="5" t="s">
        <v>31</v>
      </c>
      <c r="B6" s="6">
        <v>394866</v>
      </c>
    </row>
    <row r="7" spans="1:2">
      <c r="A7" s="5" t="s">
        <v>90</v>
      </c>
      <c r="B7" s="6">
        <v>622561</v>
      </c>
    </row>
    <row r="8" spans="1:2">
      <c r="A8" s="5" t="s">
        <v>33</v>
      </c>
      <c r="B8" s="6">
        <v>302922</v>
      </c>
    </row>
    <row r="9" spans="1:2">
      <c r="A9" s="5" t="s">
        <v>91</v>
      </c>
      <c r="B9" s="6">
        <v>801831</v>
      </c>
    </row>
    <row r="10" spans="1:2">
      <c r="A10" s="5" t="s">
        <v>92</v>
      </c>
      <c r="B10" s="6">
        <v>106411</v>
      </c>
    </row>
    <row r="11" spans="1:2">
      <c r="A11" s="5" t="s">
        <v>93</v>
      </c>
      <c r="B11" s="6">
        <v>155782</v>
      </c>
    </row>
    <row r="12" spans="1:2">
      <c r="A12" s="5" t="s">
        <v>20</v>
      </c>
      <c r="B12" s="6">
        <v>1706720</v>
      </c>
    </row>
    <row r="13" spans="1:2">
      <c r="A13" s="5" t="s">
        <v>94</v>
      </c>
      <c r="B13" s="6">
        <v>853749</v>
      </c>
    </row>
    <row r="14" spans="1:2">
      <c r="A14" s="5" t="s">
        <v>95</v>
      </c>
      <c r="B14" s="6">
        <v>587166</v>
      </c>
    </row>
    <row r="15" spans="1:2">
      <c r="A15" s="5" t="s">
        <v>96</v>
      </c>
      <c r="B15" s="6">
        <v>176320</v>
      </c>
    </row>
    <row r="16" spans="1:2">
      <c r="A16" s="5" t="s">
        <v>39</v>
      </c>
      <c r="B16" s="6">
        <v>661182</v>
      </c>
    </row>
    <row r="17" spans="1:2">
      <c r="A17" s="5" t="s">
        <v>97</v>
      </c>
      <c r="B17" s="6">
        <v>305231</v>
      </c>
    </row>
    <row r="18" spans="1:2">
      <c r="A18" s="5" t="s">
        <v>98</v>
      </c>
      <c r="B18" s="6">
        <v>183551</v>
      </c>
    </row>
    <row r="19" spans="1:2">
      <c r="A19" s="5" t="s">
        <v>99</v>
      </c>
      <c r="B19" s="6">
        <v>134883</v>
      </c>
    </row>
    <row r="20" spans="1:2">
      <c r="A20" s="5" t="s">
        <v>100</v>
      </c>
      <c r="B20" s="6">
        <v>160151</v>
      </c>
    </row>
    <row r="21" spans="1:2">
      <c r="A21" s="5" t="s">
        <v>101</v>
      </c>
      <c r="B21" s="6">
        <v>347825</v>
      </c>
    </row>
    <row r="22" spans="1:2">
      <c r="A22" s="5" t="s">
        <v>35</v>
      </c>
      <c r="B22" s="6">
        <v>339737</v>
      </c>
    </row>
    <row r="23" spans="1:2">
      <c r="A23" s="5" t="s">
        <v>102</v>
      </c>
      <c r="B23" s="6">
        <v>977055</v>
      </c>
    </row>
    <row r="24" spans="1:2">
      <c r="A24" s="5" t="s">
        <v>19</v>
      </c>
      <c r="B24" s="6">
        <v>2219250</v>
      </c>
    </row>
    <row r="25" spans="1:2">
      <c r="A25" s="5" t="s">
        <v>18</v>
      </c>
      <c r="B25" s="6">
        <v>2481459</v>
      </c>
    </row>
    <row r="26" spans="1:2">
      <c r="A26" s="5" t="s">
        <v>37</v>
      </c>
      <c r="B26" s="6">
        <v>948248</v>
      </c>
    </row>
    <row r="27" spans="1:2">
      <c r="A27" s="5" t="s">
        <v>103</v>
      </c>
      <c r="B27" s="6">
        <v>1521332</v>
      </c>
    </row>
    <row r="28" spans="1:2">
      <c r="A28" s="5" t="s">
        <v>21</v>
      </c>
      <c r="B28" s="6">
        <v>1622046</v>
      </c>
    </row>
    <row r="29" spans="1:2">
      <c r="A29" s="5" t="s">
        <v>17</v>
      </c>
      <c r="B29" s="6">
        <v>14013899</v>
      </c>
    </row>
    <row r="30" spans="1:2">
      <c r="A30" s="7" t="s">
        <v>117</v>
      </c>
      <c r="B30" s="8">
        <v>33423472</v>
      </c>
    </row>
    <row r="33" spans="1:2">
      <c r="A33" s="1" t="s">
        <v>118</v>
      </c>
      <c r="B33" s="2"/>
    </row>
    <row r="34" spans="1:2">
      <c r="A34" s="3" t="s">
        <v>14</v>
      </c>
      <c r="B34" s="4" t="s">
        <v>119</v>
      </c>
    </row>
    <row r="35" spans="1:2">
      <c r="A35" s="3" t="s">
        <v>87</v>
      </c>
      <c r="B35" s="4">
        <v>1946481</v>
      </c>
    </row>
    <row r="36" spans="1:2">
      <c r="A36" s="5" t="s">
        <v>88</v>
      </c>
      <c r="B36" s="6">
        <v>1538835</v>
      </c>
    </row>
    <row r="37" spans="1:2">
      <c r="A37" s="5" t="s">
        <v>89</v>
      </c>
      <c r="B37" s="6">
        <v>6804029</v>
      </c>
    </row>
    <row r="38" spans="1:2">
      <c r="A38" s="5" t="s">
        <v>31</v>
      </c>
      <c r="B38" s="6">
        <v>2053316</v>
      </c>
    </row>
    <row r="39" spans="1:2">
      <c r="A39" s="5" t="s">
        <v>90</v>
      </c>
      <c r="B39" s="6">
        <v>3780030</v>
      </c>
    </row>
    <row r="40" spans="1:2">
      <c r="A40" s="5" t="s">
        <v>33</v>
      </c>
      <c r="B40" s="6">
        <v>1564819</v>
      </c>
    </row>
    <row r="41" spans="1:2">
      <c r="A41" s="5" t="s">
        <v>91</v>
      </c>
      <c r="B41" s="6">
        <v>4643631</v>
      </c>
    </row>
    <row r="42" spans="1:2">
      <c r="A42" s="5" t="s">
        <v>92</v>
      </c>
      <c r="B42" s="6">
        <v>445986</v>
      </c>
    </row>
    <row r="43" spans="1:2">
      <c r="A43" s="5" t="s">
        <v>93</v>
      </c>
      <c r="B43" s="6">
        <v>1022634</v>
      </c>
    </row>
    <row r="44" spans="1:2">
      <c r="A44" s="5" t="s">
        <v>20</v>
      </c>
      <c r="B44" s="6">
        <v>10019523</v>
      </c>
    </row>
    <row r="45" spans="1:2">
      <c r="A45" s="5" t="s">
        <v>94</v>
      </c>
      <c r="B45" s="6">
        <v>4679239</v>
      </c>
    </row>
    <row r="46" spans="1:2">
      <c r="A46" s="5" t="s">
        <v>95</v>
      </c>
      <c r="B46" s="6">
        <v>3685289</v>
      </c>
    </row>
    <row r="47" spans="1:2">
      <c r="A47" s="5" t="s">
        <v>96</v>
      </c>
      <c r="B47" s="6">
        <v>809173</v>
      </c>
    </row>
    <row r="48" spans="1:2">
      <c r="A48" s="5" t="s">
        <v>39</v>
      </c>
      <c r="B48" s="6">
        <v>3512551</v>
      </c>
    </row>
    <row r="49" spans="1:2">
      <c r="A49" s="5" t="s">
        <v>97</v>
      </c>
      <c r="B49" s="6">
        <v>1376103</v>
      </c>
    </row>
    <row r="50" spans="1:2">
      <c r="A50" s="5" t="s">
        <v>98</v>
      </c>
      <c r="B50" s="6">
        <v>1222683</v>
      </c>
    </row>
    <row r="51" spans="1:2">
      <c r="A51" s="5" t="s">
        <v>99</v>
      </c>
      <c r="B51" s="6">
        <v>797807</v>
      </c>
    </row>
    <row r="52" spans="1:2">
      <c r="A52" s="5" t="s">
        <v>100</v>
      </c>
      <c r="B52" s="6">
        <v>978609</v>
      </c>
    </row>
    <row r="53" spans="1:2">
      <c r="A53" s="5" t="s">
        <v>101</v>
      </c>
      <c r="B53" s="6">
        <v>2001168</v>
      </c>
    </row>
    <row r="54" spans="1:2">
      <c r="A54" s="5" t="s">
        <v>35</v>
      </c>
      <c r="B54" s="6">
        <v>1725971</v>
      </c>
    </row>
    <row r="55" spans="1:2">
      <c r="A55" s="5" t="s">
        <v>102</v>
      </c>
      <c r="B55" s="6">
        <v>5212794</v>
      </c>
    </row>
    <row r="56" spans="1:2">
      <c r="A56" s="5" t="s">
        <v>19</v>
      </c>
      <c r="B56" s="6">
        <v>11969598</v>
      </c>
    </row>
    <row r="57" spans="1:2">
      <c r="A57" s="5" t="s">
        <v>18</v>
      </c>
      <c r="B57" s="6">
        <v>13392001</v>
      </c>
    </row>
    <row r="58" spans="1:2">
      <c r="A58" s="5" t="s">
        <v>37</v>
      </c>
      <c r="B58" s="6">
        <v>4859293</v>
      </c>
    </row>
    <row r="59" spans="1:2">
      <c r="A59" s="5" t="s">
        <v>103</v>
      </c>
      <c r="B59" s="6">
        <v>8496487</v>
      </c>
    </row>
    <row r="60" spans="1:2">
      <c r="A60" s="5" t="s">
        <v>21</v>
      </c>
      <c r="B60" s="6">
        <v>9154893</v>
      </c>
    </row>
    <row r="61" spans="1:2">
      <c r="A61" s="5" t="s">
        <v>17</v>
      </c>
      <c r="B61" s="6">
        <v>77111110</v>
      </c>
    </row>
    <row r="62" spans="1:2">
      <c r="A62" s="7" t="s">
        <v>117</v>
      </c>
      <c r="B62" s="8">
        <v>184804053</v>
      </c>
    </row>
    <row r="65" spans="1:4">
      <c r="A65" s="1" t="s">
        <v>120</v>
      </c>
      <c r="B65" s="2"/>
      <c r="C65" s="2"/>
      <c r="D65" s="2"/>
    </row>
    <row r="66" spans="1:4">
      <c r="A66" s="3"/>
      <c r="B66" s="3"/>
      <c r="C66" s="3"/>
      <c r="D66" s="9"/>
    </row>
    <row r="67" spans="1:4">
      <c r="A67" s="3" t="s">
        <v>14</v>
      </c>
      <c r="B67" s="3" t="s">
        <v>121</v>
      </c>
      <c r="C67" s="10" t="s">
        <v>122</v>
      </c>
      <c r="D67" s="11" t="s">
        <v>123</v>
      </c>
    </row>
    <row r="68" spans="1:4">
      <c r="A68" s="3" t="s">
        <v>87</v>
      </c>
      <c r="B68" s="3">
        <v>442309</v>
      </c>
      <c r="C68" s="10">
        <v>319129</v>
      </c>
      <c r="D68" s="11">
        <v>284924</v>
      </c>
    </row>
    <row r="69" spans="1:4">
      <c r="A69" s="5" t="s">
        <v>88</v>
      </c>
      <c r="B69" s="12">
        <v>323033</v>
      </c>
      <c r="C69">
        <v>228554</v>
      </c>
      <c r="D69" s="13">
        <v>225890</v>
      </c>
    </row>
    <row r="70" spans="1:4">
      <c r="A70" s="5" t="s">
        <v>89</v>
      </c>
      <c r="B70" s="12">
        <v>1015805</v>
      </c>
      <c r="C70">
        <v>1028866</v>
      </c>
      <c r="D70" s="13">
        <v>1147796</v>
      </c>
    </row>
    <row r="71" spans="1:4">
      <c r="A71" s="5" t="s">
        <v>31</v>
      </c>
      <c r="B71" s="12">
        <v>196902</v>
      </c>
      <c r="C71">
        <v>321256</v>
      </c>
      <c r="D71" s="13">
        <v>364133</v>
      </c>
    </row>
    <row r="72" spans="1:4">
      <c r="A72" s="5" t="s">
        <v>90</v>
      </c>
      <c r="B72" s="12">
        <v>762304</v>
      </c>
      <c r="C72">
        <v>585962</v>
      </c>
      <c r="D72" s="13">
        <v>609108</v>
      </c>
    </row>
    <row r="73" spans="1:4">
      <c r="A73" s="5" t="s">
        <v>33</v>
      </c>
      <c r="B73" s="12">
        <v>152742</v>
      </c>
      <c r="C73">
        <v>227187</v>
      </c>
      <c r="D73" s="13">
        <v>296023</v>
      </c>
    </row>
    <row r="74" spans="1:4">
      <c r="A74" s="5" t="s">
        <v>91</v>
      </c>
      <c r="B74" s="12">
        <v>801749</v>
      </c>
      <c r="C74">
        <v>821160</v>
      </c>
      <c r="D74" s="13">
        <v>722229</v>
      </c>
    </row>
    <row r="75" spans="1:4">
      <c r="A75" s="5" t="s">
        <v>92</v>
      </c>
      <c r="B75" s="12">
        <v>0</v>
      </c>
      <c r="C75">
        <v>0</v>
      </c>
      <c r="D75" s="13">
        <v>119837</v>
      </c>
    </row>
    <row r="76" spans="1:4">
      <c r="A76" s="5" t="s">
        <v>93</v>
      </c>
      <c r="B76" s="12">
        <v>217405</v>
      </c>
      <c r="C76">
        <v>179367</v>
      </c>
      <c r="D76" s="13">
        <v>164366</v>
      </c>
    </row>
    <row r="77" spans="1:4">
      <c r="A77" s="5" t="s">
        <v>20</v>
      </c>
      <c r="B77" s="12">
        <v>1795383</v>
      </c>
      <c r="C77">
        <v>1576557</v>
      </c>
      <c r="D77" s="13">
        <v>1611196</v>
      </c>
    </row>
    <row r="78" spans="1:4">
      <c r="A78" s="5" t="s">
        <v>94</v>
      </c>
      <c r="B78" s="12">
        <v>683211</v>
      </c>
      <c r="C78">
        <v>707635</v>
      </c>
      <c r="D78" s="13">
        <v>788166</v>
      </c>
    </row>
    <row r="79" spans="1:4">
      <c r="A79" s="5" t="s">
        <v>95</v>
      </c>
      <c r="B79" s="12">
        <v>759081</v>
      </c>
      <c r="C79">
        <v>580625</v>
      </c>
      <c r="D79" s="13">
        <v>576059</v>
      </c>
    </row>
    <row r="80" spans="1:4">
      <c r="A80" s="5" t="s">
        <v>96</v>
      </c>
      <c r="B80" s="12">
        <v>0</v>
      </c>
      <c r="C80">
        <v>140610</v>
      </c>
      <c r="D80" s="13">
        <v>154652</v>
      </c>
    </row>
    <row r="81" spans="1:4">
      <c r="A81" s="5" t="s">
        <v>39</v>
      </c>
      <c r="B81" s="12">
        <v>466775</v>
      </c>
      <c r="C81">
        <v>481893</v>
      </c>
      <c r="D81" s="13">
        <v>618216</v>
      </c>
    </row>
    <row r="82" spans="1:4">
      <c r="A82" s="5" t="s">
        <v>97</v>
      </c>
      <c r="B82" s="12">
        <v>0</v>
      </c>
      <c r="C82">
        <v>216207</v>
      </c>
      <c r="D82" s="13">
        <v>272154</v>
      </c>
    </row>
    <row r="83" spans="1:4">
      <c r="A83" s="5" t="s">
        <v>98</v>
      </c>
      <c r="B83" s="12">
        <v>322207</v>
      </c>
      <c r="C83">
        <v>184440</v>
      </c>
      <c r="D83" s="13">
        <v>176598</v>
      </c>
    </row>
    <row r="84" spans="1:4">
      <c r="A84" s="5" t="s">
        <v>99</v>
      </c>
      <c r="B84" s="12">
        <v>180265</v>
      </c>
      <c r="C84">
        <v>107468</v>
      </c>
      <c r="D84" s="13">
        <v>118037</v>
      </c>
    </row>
    <row r="85" spans="1:4">
      <c r="A85" s="5" t="s">
        <v>100</v>
      </c>
      <c r="B85" s="12">
        <v>177854</v>
      </c>
      <c r="C85">
        <v>162508</v>
      </c>
      <c r="D85" s="13">
        <v>165800</v>
      </c>
    </row>
    <row r="86" spans="1:4">
      <c r="A86" s="5" t="s">
        <v>101</v>
      </c>
      <c r="B86" s="12">
        <v>229476</v>
      </c>
      <c r="C86">
        <v>386091</v>
      </c>
      <c r="D86" s="13">
        <v>361674</v>
      </c>
    </row>
    <row r="87" spans="1:4">
      <c r="A87" s="5" t="s">
        <v>35</v>
      </c>
      <c r="B87" s="12">
        <v>177098</v>
      </c>
      <c r="C87">
        <v>257198</v>
      </c>
      <c r="D87" s="13">
        <v>300146</v>
      </c>
    </row>
    <row r="88" spans="1:4">
      <c r="A88" s="5" t="s">
        <v>102</v>
      </c>
      <c r="B88" s="12">
        <v>758136</v>
      </c>
      <c r="C88">
        <v>820402</v>
      </c>
      <c r="D88" s="13">
        <v>829482</v>
      </c>
    </row>
    <row r="89" spans="1:4">
      <c r="A89" s="5" t="s">
        <v>19</v>
      </c>
      <c r="B89" s="12">
        <v>2098287</v>
      </c>
      <c r="C89">
        <v>1811538</v>
      </c>
      <c r="D89" s="13">
        <v>1835200</v>
      </c>
    </row>
    <row r="90" spans="1:4">
      <c r="A90" s="5" t="s">
        <v>18</v>
      </c>
      <c r="B90" s="12">
        <v>1906494</v>
      </c>
      <c r="C90">
        <v>2148447</v>
      </c>
      <c r="D90" s="13">
        <v>2200990</v>
      </c>
    </row>
    <row r="91" spans="1:4">
      <c r="A91" s="5" t="s">
        <v>37</v>
      </c>
      <c r="B91" s="12">
        <v>597628</v>
      </c>
      <c r="C91">
        <v>690394</v>
      </c>
      <c r="D91" s="13">
        <v>841880</v>
      </c>
    </row>
    <row r="92" spans="1:4">
      <c r="A92" s="5" t="s">
        <v>103</v>
      </c>
      <c r="B92" s="12">
        <v>1592453</v>
      </c>
      <c r="C92">
        <v>1287255</v>
      </c>
      <c r="D92" s="13">
        <v>1320218</v>
      </c>
    </row>
    <row r="93" spans="1:4">
      <c r="A93" s="5" t="s">
        <v>21</v>
      </c>
      <c r="B93" s="12">
        <v>1566958</v>
      </c>
      <c r="C93">
        <v>1371170</v>
      </c>
      <c r="D93" s="13">
        <v>1482662</v>
      </c>
    </row>
    <row r="94" spans="1:4">
      <c r="A94" s="5" t="s">
        <v>17</v>
      </c>
      <c r="B94" s="12">
        <v>11318335</v>
      </c>
      <c r="C94">
        <v>11936353</v>
      </c>
      <c r="D94" s="13">
        <v>12735977</v>
      </c>
    </row>
    <row r="95" customHeight="1" spans="1:4">
      <c r="A95" s="7" t="s">
        <v>117</v>
      </c>
      <c r="B95" s="7">
        <v>28541890</v>
      </c>
      <c r="C95" s="14">
        <v>28578272</v>
      </c>
      <c r="D95" s="15">
        <v>30323413</v>
      </c>
    </row>
    <row r="97" spans="1:2">
      <c r="A97" s="1" t="s">
        <v>124</v>
      </c>
      <c r="B97" s="2"/>
    </row>
    <row r="98" spans="1:2">
      <c r="A98" s="3" t="s">
        <v>14</v>
      </c>
      <c r="B98" s="4" t="s">
        <v>125</v>
      </c>
    </row>
    <row r="99" spans="1:2">
      <c r="A99" s="3" t="s">
        <v>87</v>
      </c>
      <c r="B99" s="4">
        <v>0.11975496</v>
      </c>
    </row>
    <row r="100" spans="1:2">
      <c r="A100" s="5" t="s">
        <v>88</v>
      </c>
      <c r="B100" s="6">
        <v>0.10196862</v>
      </c>
    </row>
    <row r="101" spans="1:2">
      <c r="A101" s="5" t="s">
        <v>89</v>
      </c>
      <c r="B101" s="6">
        <v>0.48000147</v>
      </c>
    </row>
    <row r="102" spans="1:2">
      <c r="A102" s="5" t="s">
        <v>31</v>
      </c>
      <c r="B102" s="6">
        <v>0.15399774</v>
      </c>
    </row>
    <row r="103" spans="1:2">
      <c r="A103" s="5" t="s">
        <v>90</v>
      </c>
      <c r="B103" s="6">
        <v>0.24279879</v>
      </c>
    </row>
    <row r="104" spans="1:2">
      <c r="A104" s="5" t="s">
        <v>33</v>
      </c>
      <c r="B104" s="6">
        <v>0.11813958</v>
      </c>
    </row>
    <row r="105" spans="1:2">
      <c r="A105" s="5" t="s">
        <v>91</v>
      </c>
      <c r="B105" s="6">
        <v>0.31271409</v>
      </c>
    </row>
    <row r="106" spans="1:2">
      <c r="A106" s="5" t="s">
        <v>92</v>
      </c>
      <c r="B106" s="6">
        <v>0.04150029</v>
      </c>
    </row>
    <row r="107" spans="1:2">
      <c r="A107" s="5" t="s">
        <v>93</v>
      </c>
      <c r="B107" s="6">
        <v>0.06075498</v>
      </c>
    </row>
    <row r="108" spans="1:2">
      <c r="A108" s="5" t="s">
        <v>20</v>
      </c>
      <c r="B108" s="6">
        <v>0.6656208</v>
      </c>
    </row>
    <row r="109" spans="1:2">
      <c r="A109" s="5" t="s">
        <v>94</v>
      </c>
      <c r="B109" s="6">
        <v>0.33296211</v>
      </c>
    </row>
    <row r="110" spans="1:2">
      <c r="A110" s="5" t="s">
        <v>95</v>
      </c>
      <c r="B110" s="6">
        <v>0.22899474</v>
      </c>
    </row>
    <row r="111" spans="1:2">
      <c r="A111" s="5" t="s">
        <v>96</v>
      </c>
      <c r="B111" s="6">
        <v>0.0687648</v>
      </c>
    </row>
    <row r="112" spans="1:2">
      <c r="A112" s="5" t="s">
        <v>39</v>
      </c>
      <c r="B112" s="6">
        <v>0.25786098</v>
      </c>
    </row>
    <row r="113" spans="1:2">
      <c r="A113" s="5" t="s">
        <v>97</v>
      </c>
      <c r="B113" s="6">
        <v>0.11904009</v>
      </c>
    </row>
    <row r="114" spans="1:2">
      <c r="A114" s="5" t="s">
        <v>98</v>
      </c>
      <c r="B114" s="6">
        <v>0.07158489</v>
      </c>
    </row>
    <row r="115" spans="1:2">
      <c r="A115" s="5" t="s">
        <v>99</v>
      </c>
      <c r="B115" s="6">
        <v>0.05260437</v>
      </c>
    </row>
    <row r="116" spans="1:2">
      <c r="A116" s="5" t="s">
        <v>100</v>
      </c>
      <c r="B116" s="6">
        <v>0.06245889</v>
      </c>
    </row>
    <row r="117" spans="1:2">
      <c r="A117" s="5" t="s">
        <v>101</v>
      </c>
      <c r="B117" s="6">
        <v>0.13565175</v>
      </c>
    </row>
    <row r="118" spans="1:2">
      <c r="A118" s="5" t="s">
        <v>35</v>
      </c>
      <c r="B118" s="6">
        <v>0.13249743</v>
      </c>
    </row>
    <row r="119" spans="1:2">
      <c r="A119" s="5" t="s">
        <v>102</v>
      </c>
      <c r="B119" s="6">
        <v>0.38105145</v>
      </c>
    </row>
    <row r="120" spans="1:2">
      <c r="A120" s="5" t="s">
        <v>19</v>
      </c>
      <c r="B120" s="6">
        <v>0.8655075</v>
      </c>
    </row>
    <row r="121" spans="1:2">
      <c r="A121" s="5" t="s">
        <v>18</v>
      </c>
      <c r="B121" s="6">
        <v>0.96776901</v>
      </c>
    </row>
    <row r="122" spans="1:2">
      <c r="A122" s="5" t="s">
        <v>37</v>
      </c>
      <c r="B122" s="6">
        <v>0.36981672</v>
      </c>
    </row>
    <row r="123" spans="1:2">
      <c r="A123" s="5" t="s">
        <v>103</v>
      </c>
      <c r="B123" s="6">
        <v>0.59331948</v>
      </c>
    </row>
    <row r="124" spans="1:2">
      <c r="A124" s="5" t="s">
        <v>21</v>
      </c>
      <c r="B124" s="6">
        <v>0.63259794</v>
      </c>
    </row>
    <row r="125" spans="1:2">
      <c r="A125" s="5" t="s">
        <v>17</v>
      </c>
      <c r="B125" s="6">
        <v>5.46542061</v>
      </c>
    </row>
    <row r="126" spans="1:2">
      <c r="A126" s="7" t="s">
        <v>117</v>
      </c>
      <c r="B126" s="8">
        <v>13.03515408</v>
      </c>
    </row>
  </sheetData>
  <mergeCells count="4">
    <mergeCell ref="A1:B1"/>
    <mergeCell ref="A33:B33"/>
    <mergeCell ref="A65:D65"/>
    <mergeCell ref="A97:B9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ANALYSIS_SUMMARY</vt:lpstr>
      <vt:lpstr>ANALYSIS</vt:lpstr>
      <vt:lpstr>ANALYSIS_LOG</vt:lpstr>
      <vt:lpstr>BSP_CORRIDORS</vt:lpstr>
      <vt:lpstr>PIVOT_TABLES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tabor</cp:lastModifiedBy>
  <dcterms:created xsi:type="dcterms:W3CDTF">2026-03-26T03:41:50Z</dcterms:created>
  <dcterms:modified xsi:type="dcterms:W3CDTF">2026-03-26T03:42:05Z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74C763B7B554425FAA9B385C1FDF4546_12</vt:lpwstr>
  </property>
  <property fmtid="{D5CDD505-2E9C-101B-9397-08002B2CF9AE}" pid="3" name="KSOProductBuildVer">
    <vt:lpwstr>1033-12.1.0.25242</vt:lpwstr>
  </property>
  <property fmtid="{D5CDD505-2E9C-101B-9397-08002B2CF9AE}" pid="4" name="CalculationRule">
    <vt:i4>0</vt:i4>
  </property>
</Properties>
</file>